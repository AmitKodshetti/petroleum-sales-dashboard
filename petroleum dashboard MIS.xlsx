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xcel\Project\petroleum project\MIS\"/>
    </mc:Choice>
  </mc:AlternateContent>
  <xr:revisionPtr revIDLastSave="0" documentId="13_ncr:1_{8C230976-A212-408D-B3DA-7A324E08759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ealers" sheetId="1" r:id="rId1"/>
    <sheet name="Invoices" sheetId="2" r:id="rId2"/>
    <sheet name="Products" sheetId="3" r:id="rId3"/>
    <sheet name="Routes" sheetId="4" r:id="rId4"/>
    <sheet name="Targets" sheetId="5" r:id="rId5"/>
    <sheet name="MIS Summary" sheetId="6" r:id="rId6"/>
  </sheets>
  <definedNames>
    <definedName name="_xlnm._FilterDatabase" localSheetId="5" hidden="1">'MIS Summary'!$A$8:$D$33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6" l="1" a="1"/>
  <c r="Q3" i="6" s="1"/>
  <c r="A3" i="6"/>
  <c r="I3" i="6" s="1"/>
  <c r="E3" i="6"/>
  <c r="M3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<sst xmlns="http://schemas.openxmlformats.org/spreadsheetml/2006/main" count="181" uniqueCount="100">
  <si>
    <t>target_id</t>
  </si>
  <si>
    <t>dealer_id</t>
  </si>
  <si>
    <t>month</t>
  </si>
  <si>
    <t>target_revenue</t>
  </si>
  <si>
    <t>route_id</t>
  </si>
  <si>
    <t>route_name</t>
  </si>
  <si>
    <t>distance_km</t>
  </si>
  <si>
    <t>region</t>
  </si>
  <si>
    <t>Nagpur North</t>
  </si>
  <si>
    <t>West</t>
  </si>
  <si>
    <t>Nagpur South</t>
  </si>
  <si>
    <t>Pune Central</t>
  </si>
  <si>
    <t>Hyderabad Outer</t>
  </si>
  <si>
    <t>South</t>
  </si>
  <si>
    <t>Bangalore East</t>
  </si>
  <si>
    <t>product_id</t>
  </si>
  <si>
    <t>product_name</t>
  </si>
  <si>
    <t>category</t>
  </si>
  <si>
    <t>price_per_unit</t>
  </si>
  <si>
    <t>Petrol</t>
  </si>
  <si>
    <t>Fuel</t>
  </si>
  <si>
    <t>Diesel</t>
  </si>
  <si>
    <t>Premium Petrol</t>
  </si>
  <si>
    <t>Engine Oil</t>
  </si>
  <si>
    <t>Lubricant</t>
  </si>
  <si>
    <t>Grease</t>
  </si>
  <si>
    <t>High Speed Diesel</t>
  </si>
  <si>
    <t>Industrial Diesel</t>
  </si>
  <si>
    <t>Aviation Fuel</t>
  </si>
  <si>
    <t>CNG</t>
  </si>
  <si>
    <t>Gas</t>
  </si>
  <si>
    <t>LPG Cylinder</t>
  </si>
  <si>
    <t>Brake Oil</t>
  </si>
  <si>
    <t>Hydraulic Oil</t>
  </si>
  <si>
    <t>Gear Oil</t>
  </si>
  <si>
    <t>invoice_id</t>
  </si>
  <si>
    <t>invoice_date</t>
  </si>
  <si>
    <t>quantity</t>
  </si>
  <si>
    <t>revenue</t>
  </si>
  <si>
    <t>delivery_time</t>
  </si>
  <si>
    <t>promised_time</t>
  </si>
  <si>
    <t>dealer_name</t>
  </si>
  <si>
    <t>city</t>
  </si>
  <si>
    <t>join_date</t>
  </si>
  <si>
    <t>ABC Fuels</t>
  </si>
  <si>
    <t>Nagpur</t>
  </si>
  <si>
    <t>Sharma Petroleum</t>
  </si>
  <si>
    <t>Pune</t>
  </si>
  <si>
    <t>Metro Fuel Hub</t>
  </si>
  <si>
    <t>Mumbai</t>
  </si>
  <si>
    <t>Sai Service Station</t>
  </si>
  <si>
    <t>Hyderabad</t>
  </si>
  <si>
    <t>Elite Petro</t>
  </si>
  <si>
    <t>Bangalore</t>
  </si>
  <si>
    <t>Nagpur Fuel Hub</t>
  </si>
  <si>
    <t>Pune Energy Point</t>
  </si>
  <si>
    <t>Mumbai Petroleum</t>
  </si>
  <si>
    <t>Nashik Fuel Station</t>
  </si>
  <si>
    <t>Nashik</t>
  </si>
  <si>
    <t>Surat Diesel Point</t>
  </si>
  <si>
    <t>Surat</t>
  </si>
  <si>
    <t>Indore Fuel Hub</t>
  </si>
  <si>
    <t>Indore</t>
  </si>
  <si>
    <t>Central</t>
  </si>
  <si>
    <t>Bhopal Petro</t>
  </si>
  <si>
    <t>Bhopal</t>
  </si>
  <si>
    <t>Raipur Energy</t>
  </si>
  <si>
    <t>Raipur</t>
  </si>
  <si>
    <t>Hyderabad Prime Fuel</t>
  </si>
  <si>
    <t>Vizag Fuel Hub</t>
  </si>
  <si>
    <t>Vizag</t>
  </si>
  <si>
    <t>Chennai Diesel Depot</t>
  </si>
  <si>
    <t>Chennai</t>
  </si>
  <si>
    <t>Bangalore Fuel Point</t>
  </si>
  <si>
    <t>Delhi Petroleum</t>
  </si>
  <si>
    <t>Delhi</t>
  </si>
  <si>
    <t>North</t>
  </si>
  <si>
    <t>Noida Fuel Station</t>
  </si>
  <si>
    <t>Noida</t>
  </si>
  <si>
    <t>Lucknow Energy Hub</t>
  </si>
  <si>
    <t>Lucknow</t>
  </si>
  <si>
    <t>Jaipur Fuel Point</t>
  </si>
  <si>
    <t>Jaipur</t>
  </si>
  <si>
    <t>Kolkata Petroleum</t>
  </si>
  <si>
    <t>Kolkata</t>
  </si>
  <si>
    <t>East</t>
  </si>
  <si>
    <t>Patna Fuel Hub</t>
  </si>
  <si>
    <t>Patna</t>
  </si>
  <si>
    <t>Bhubaneswar Petro</t>
  </si>
  <si>
    <t>Bhubaneswar</t>
  </si>
  <si>
    <t>Guwahati Fuel Point</t>
  </si>
  <si>
    <t>Guwahati</t>
  </si>
  <si>
    <t>Dealer Name</t>
  </si>
  <si>
    <t>Target Revenue</t>
  </si>
  <si>
    <t>Actual Revenue</t>
  </si>
  <si>
    <t>Achievement %</t>
  </si>
  <si>
    <t>Total Revenue</t>
  </si>
  <si>
    <t>Total Target</t>
  </si>
  <si>
    <t>Total Invoices</t>
  </si>
  <si>
    <t>On Time Delivery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</si>
</sst>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6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2" tint="-0.8999908444471571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6" fillId="2" borderId="1" xfId="0" applyFont="1" applyFill="1" applyBorder="1" applyAlignment="1">
      <alignment vertical="center"/>
    </xf>
    <xf numFmtId="0" fontId="7" fillId="0" borderId="0" xfId="0" applyFont="1"/>
    <xf numFmtId="164" fontId="7" fillId="0" borderId="0" xfId="1" applyNumberFormat="1" applyFont="1" applyBorder="1"/>
    <xf numFmtId="9" fontId="7" fillId="0" borderId="0" xfId="2" applyFont="1" applyBorder="1"/>
    <xf numFmtId="164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9" fontId="4" fillId="2" borderId="0" xfId="2" applyFon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Border="1"/>
    <xf numFmtId="9" fontId="8" fillId="2" borderId="0" xfId="2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21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Dealers by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'MIS Summary'!$B$8</c:f>
              <c:strCache>
                <c:ptCount val="1"/>
                <c:pt idx="0">
                  <c:v>Target Revenue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'MIS Summary'!$A$9:$A$33</c:f>
              <c:strCache>
                <c:ptCount val="10"/>
                <c:pt idx="0">
                  <c:v>Patna Fuel Hub</c:v>
                </c:pt>
                <c:pt idx="1">
                  <c:v>Indore Fuel Hub</c:v>
                </c:pt>
                <c:pt idx="2">
                  <c:v>Metro Fuel Hub</c:v>
                </c:pt>
                <c:pt idx="3">
                  <c:v>Jaipur Fuel Point</c:v>
                </c:pt>
                <c:pt idx="4">
                  <c:v>Kolkata Petroleum</c:v>
                </c:pt>
                <c:pt idx="5">
                  <c:v>Bhopal Petro</c:v>
                </c:pt>
                <c:pt idx="6">
                  <c:v>Surat Diesel Point</c:v>
                </c:pt>
                <c:pt idx="7">
                  <c:v>Mumbai Petroleum</c:v>
                </c:pt>
                <c:pt idx="8">
                  <c:v>Raipur Energy</c:v>
                </c:pt>
                <c:pt idx="9">
                  <c:v>Bangalore Fuel Point</c:v>
                </c:pt>
              </c:strCache>
            </c:strRef>
          </c:cat>
          <c:val>
            <c:numRef>
              <c:f>'MIS Summary'!$B$9:$B$33</c:f>
              <c:numCache>
                <c:formatCode>_ * #,##0_ ;_ * \-#,##0_ ;_ * "-"??_ ;_ @_ </c:formatCode>
                <c:ptCount val="10"/>
                <c:pt idx="0">
                  <c:v>2502801.61</c:v>
                </c:pt>
                <c:pt idx="1">
                  <c:v>2865837.42</c:v>
                </c:pt>
                <c:pt idx="2">
                  <c:v>3024468.19</c:v>
                </c:pt>
                <c:pt idx="3">
                  <c:v>4527906</c:v>
                </c:pt>
                <c:pt idx="4">
                  <c:v>3217303.91</c:v>
                </c:pt>
                <c:pt idx="5">
                  <c:v>3683875.21</c:v>
                </c:pt>
                <c:pt idx="6">
                  <c:v>4381770.66</c:v>
                </c:pt>
                <c:pt idx="7">
                  <c:v>4674418.67</c:v>
                </c:pt>
                <c:pt idx="8">
                  <c:v>4821863.87</c:v>
                </c:pt>
                <c:pt idx="9">
                  <c:v>4737897.55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F-448A-922B-BD7E12455F16}"/>
            </c:ext>
          </c:extLst>
        </c:ser>
        <c:ser>
          <c:idx val="1"/>
          <c:order val="1"/>
          <c:tx>
            <c:strRef>
              <c:f>'MIS Summary'!$C$8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Summary'!$A$9:$A$33</c:f>
              <c:strCache>
                <c:ptCount val="10"/>
                <c:pt idx="0">
                  <c:v>Patna Fuel Hub</c:v>
                </c:pt>
                <c:pt idx="1">
                  <c:v>Indore Fuel Hub</c:v>
                </c:pt>
                <c:pt idx="2">
                  <c:v>Metro Fuel Hub</c:v>
                </c:pt>
                <c:pt idx="3">
                  <c:v>Jaipur Fuel Point</c:v>
                </c:pt>
                <c:pt idx="4">
                  <c:v>Kolkata Petroleum</c:v>
                </c:pt>
                <c:pt idx="5">
                  <c:v>Bhopal Petro</c:v>
                </c:pt>
                <c:pt idx="6">
                  <c:v>Surat Diesel Point</c:v>
                </c:pt>
                <c:pt idx="7">
                  <c:v>Mumbai Petroleum</c:v>
                </c:pt>
                <c:pt idx="8">
                  <c:v>Raipur Energy</c:v>
                </c:pt>
                <c:pt idx="9">
                  <c:v>Bangalore Fuel Point</c:v>
                </c:pt>
              </c:strCache>
            </c:strRef>
          </c:cat>
          <c:val>
            <c:numRef>
              <c:f>'MIS Summary'!$C$9:$C$33</c:f>
              <c:numCache>
                <c:formatCode>_ * #,##0_ ;_ * \-#,##0_ ;_ * "-"??_ ;_ @_ </c:formatCode>
                <c:ptCount val="10"/>
                <c:pt idx="0">
                  <c:v>4556828.3600000003</c:v>
                </c:pt>
                <c:pt idx="1">
                  <c:v>4288414.79</c:v>
                </c:pt>
                <c:pt idx="2">
                  <c:v>3890029.03</c:v>
                </c:pt>
                <c:pt idx="3">
                  <c:v>5412017.25</c:v>
                </c:pt>
                <c:pt idx="4">
                  <c:v>3713282.38</c:v>
                </c:pt>
                <c:pt idx="5">
                  <c:v>3936916.2399999998</c:v>
                </c:pt>
                <c:pt idx="6">
                  <c:v>4126006.9600000004</c:v>
                </c:pt>
                <c:pt idx="7">
                  <c:v>4399705.04</c:v>
                </c:pt>
                <c:pt idx="8">
                  <c:v>4525194.21</c:v>
                </c:pt>
                <c:pt idx="9">
                  <c:v>3933489.8400000008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4F-448A-922B-BD7E12455F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40"/>
        <c:overlap val="100"/>
        <c:axId val="743274063"/>
        <c:axId val="743272623"/>
      </c:barChart>
      <c:catAx>
        <c:axId val="7432740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accent2"/>
            </a:solidFill>
            <a:prstDash val="solid"/>
            <a:miter lim="800000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272623"/>
        <c:crosses val="autoZero"/>
        <c:auto val="1"/>
        <c:lblAlgn val="ctr"/>
        <c:lblOffset val="100"/>
        <c:noMultiLvlLbl val="0"/>
      </c:catAx>
      <c:valAx>
        <c:axId val="743272623"/>
        <c:scaling>
          <c:orientation val="minMax"/>
        </c:scaling>
        <c:delete val="1"/>
        <c:axPos val="t"/>
        <c:numFmt formatCode="_ * #,##0_ ;_ * \-#,##0_ ;_ * &quot;-&quot;??_ ;_ @_ " sourceLinked="1"/>
        <c:majorTickMark val="none"/>
        <c:minorTickMark val="none"/>
        <c:tickLblPos val="nextTo"/>
        <c:crossAx val="743274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alpha val="50000"/>
      </a:schemeClr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'MIS Summary'!$D$8</c:f>
              <c:strCache>
                <c:ptCount val="1"/>
                <c:pt idx="0">
                  <c:v>Achievement %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'MIS Summary'!$A$9:$A$18</c:f>
              <c:strCache>
                <c:ptCount val="10"/>
                <c:pt idx="0">
                  <c:v>Patna Fuel Hub</c:v>
                </c:pt>
                <c:pt idx="1">
                  <c:v>Indore Fuel Hub</c:v>
                </c:pt>
                <c:pt idx="2">
                  <c:v>Metro Fuel Hub</c:v>
                </c:pt>
                <c:pt idx="3">
                  <c:v>Jaipur Fuel Point</c:v>
                </c:pt>
                <c:pt idx="4">
                  <c:v>Kolkata Petroleum</c:v>
                </c:pt>
                <c:pt idx="5">
                  <c:v>Bhopal Petro</c:v>
                </c:pt>
                <c:pt idx="6">
                  <c:v>Surat Diesel Point</c:v>
                </c:pt>
                <c:pt idx="7">
                  <c:v>Mumbai Petroleum</c:v>
                </c:pt>
                <c:pt idx="8">
                  <c:v>Raipur Energy</c:v>
                </c:pt>
                <c:pt idx="9">
                  <c:v>Bangalore Fuel Point</c:v>
                </c:pt>
              </c:strCache>
            </c:strRef>
          </c:cat>
          <c:val>
            <c:numRef>
              <c:f>'MIS Summary'!$D$9:$D$18</c:f>
              <c:numCache>
                <c:formatCode>0%</c:formatCode>
                <c:ptCount val="10"/>
                <c:pt idx="0">
                  <c:v>1.8206909975577332</c:v>
                </c:pt>
                <c:pt idx="1">
                  <c:v>1.4963915119790712</c:v>
                </c:pt>
                <c:pt idx="2">
                  <c:v>1.286186127816408</c:v>
                </c:pt>
                <c:pt idx="3">
                  <c:v>1.1952583048323</c:v>
                </c:pt>
                <c:pt idx="4">
                  <c:v>1.1541596578608577</c:v>
                </c:pt>
                <c:pt idx="5">
                  <c:v>1.0686888169591391</c:v>
                </c:pt>
                <c:pt idx="6">
                  <c:v>0.9416300578360256</c:v>
                </c:pt>
                <c:pt idx="7">
                  <c:v>0.94123041828429121</c:v>
                </c:pt>
                <c:pt idx="8">
                  <c:v>0.93847406977916192</c:v>
                </c:pt>
                <c:pt idx="9">
                  <c:v>0.83021842462591888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6-482C-A8D9-A8F32C33B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98034879"/>
        <c:axId val="1698035359"/>
      </c:barChart>
      <c:catAx>
        <c:axId val="16980348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8035359"/>
        <c:crosses val="autoZero"/>
        <c:auto val="1"/>
        <c:lblAlgn val="ctr"/>
        <c:lblOffset val="100"/>
        <c:noMultiLvlLbl val="0"/>
      </c:catAx>
      <c:valAx>
        <c:axId val="1698035359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698034879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495300</xdr:colOff>
      <xdr:row>6</xdr:row>
      <xdr:rowOff>179069</xdr:rowOff>
    </xdr:from>
    <xdr:to>
      <xdr:col>20</xdr:col>
      <xdr:colOff>0</xdr:colOff>
      <xdr:row>40</xdr:row>
      <xdr:rowOff>3082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120A32DC-F0B1-617C-27F1-E0E382954192}"/>
            </a:ext>
          </a:extLst>
        </xdr:cNvPr>
        <xdr:cNvGrpSpPr/>
      </xdr:nvGrpSpPr>
      <xdr:grpSpPr>
        <a:xfrm>
          <a:off x="4305300" y="1257856"/>
          <a:ext cx="10104206" cy="3428529"/>
          <a:chOff x="4305300" y="1257856"/>
          <a:chExt cx="10104206" cy="3428529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B6CE2D76-AD14-BE3B-C062-C5C125DA0E0A}"/>
              </a:ext>
            </a:extLst>
          </xdr:cNvPr>
          <xdr:cNvGraphicFramePr/>
        </xdr:nvGraphicFramePr>
        <xdr:xfrm>
          <a:off x="4305300" y="1257856"/>
          <a:ext cx="5104116" cy="342544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99369A37-AF31-2554-AB01-93610E9FD269}"/>
              </a:ext>
            </a:extLst>
          </xdr:cNvPr>
          <xdr:cNvGraphicFramePr/>
        </xdr:nvGraphicFramePr>
        <xdr:xfrm>
          <a:off x="9113948" y="1257856"/>
          <a:ext cx="5295558" cy="342852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2D193-4643-4860-94DC-88060B388299}" name="tblDealers" displayName="tblDealers" ref="A1:E26" totalsRowShown="0">
  <autoFilter ref="A1:E26" xr:uid="{BB42D193-4643-4860-94DC-88060B388299}"/>
  <tableColumns count="5">
    <tableColumn id="1" xr3:uid="{AA23030A-1BDB-4ABC-8449-85DB2EF6804D}" name="dealer_id"/>
    <tableColumn id="2" xr3:uid="{343901AF-784B-48EC-9054-A7E00012660C}" name="dealer_name"/>
    <tableColumn id="3" xr3:uid="{9C8E2C01-2F10-40F8-ADA0-0F804B9D843B}" name="city"/>
    <tableColumn id="4" xr3:uid="{05B473B4-5971-4BCD-BB62-25936B13F16F}" name="region"/>
    <tableColumn id="5" xr3:uid="{172B58C2-E1D0-4AFA-85F6-8B1856FF4ED8}" name="join_dat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85DD6A-EBC8-4E1A-8860-2E25A47C7CD5}" name="tblinvoices" displayName="tblinvoices" ref="A1:I501" totalsRowShown="0">
  <autoFilter ref="A1:I501" xr:uid="{6285DD6A-EBC8-4E1A-8860-2E25A47C7CD5}"/>
  <tableColumns count="9">
    <tableColumn id="1" xr3:uid="{258C2F52-EF58-47F8-B9E9-06AA01B38EFD}" name="invoice_id"/>
    <tableColumn id="2" xr3:uid="{4116B342-77EF-4CC0-9288-C5B786FBDEBC}" name="dealer_id"/>
    <tableColumn id="3" xr3:uid="{8A178187-3EDD-46AD-B7D6-993BB6D05F80}" name="product_id"/>
    <tableColumn id="4" xr3:uid="{5E141767-644E-460E-BBF1-2E2DA8C173CF}" name="route_id"/>
    <tableColumn id="5" xr3:uid="{ABCAF236-B6EE-4193-BEEA-2A94308CCDC4}" name="invoice_date" dataDxfId="19"/>
    <tableColumn id="6" xr3:uid="{EC6BBC8D-74BB-4405-911B-ED65E518B9CB}" name="quantity"/>
    <tableColumn id="7" xr3:uid="{988C2094-87BC-4899-B45E-9EEA62FC02BD}" name="revenue"/>
    <tableColumn id="8" xr3:uid="{838968F3-670D-41F5-B159-45CC801DCAAC}" name="delivery_time"/>
    <tableColumn id="9" xr3:uid="{4073F3D7-BC0B-4E95-A52B-CAD632143A5E}" name="promised_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8BB84B-9B69-42B8-8DFF-57019E1346E8}" name="tblproducts" displayName="tblproducts" ref="A1:D14" totalsRowShown="0">
  <autoFilter ref="A1:D14" xr:uid="{4F8BB84B-9B69-42B8-8DFF-57019E1346E8}"/>
  <tableColumns count="4">
    <tableColumn id="1" xr3:uid="{D9573B4D-13DA-4024-97FD-BAD491420C2B}" name="product_id"/>
    <tableColumn id="2" xr3:uid="{6EC3F6AD-EC66-42F2-B2B3-A7D834FCE936}" name="product_name"/>
    <tableColumn id="3" xr3:uid="{7C3B80AA-63F6-4D50-91D7-27FF9CA5B5B7}" name="category"/>
    <tableColumn id="4" xr3:uid="{32D60EE9-3838-4B71-BFEC-05006831B171}" name="price_per_un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24CFFB9-06AF-40AA-BA98-C33B24BC29AC}" name="tblroutes" displayName="tblroutes" ref="A1:D11" totalsRowShown="0">
  <autoFilter ref="A1:D11" xr:uid="{624CFFB9-06AF-40AA-BA98-C33B24BC29AC}"/>
  <tableColumns count="4">
    <tableColumn id="1" xr3:uid="{E838FC3A-A8EF-4FED-B249-E14967D49834}" name="route_id"/>
    <tableColumn id="2" xr3:uid="{6B813429-497B-48D1-B8EE-DE3AFD8929D2}" name="route_name"/>
    <tableColumn id="3" xr3:uid="{0CDBBB97-1816-4FDF-AB06-59220E9BB754}" name="distance_km"/>
    <tableColumn id="4" xr3:uid="{5DCD5634-FEC1-497B-BCF2-F328C7DCD5A0}" name="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B7D0EF-DE98-471C-A290-87D345BF96F5}" name="tbltargets" displayName="tbltargets" ref="A1:D27" totalsRowShown="0">
  <autoFilter ref="A1:D27" xr:uid="{0BB7D0EF-DE98-471C-A290-87D345BF96F5}"/>
  <tableColumns count="4">
    <tableColumn id="1" xr3:uid="{2359001E-99CE-43EA-A6E0-9050A35F000F}" name="target_id"/>
    <tableColumn id="2" xr3:uid="{B72A2BAE-3F19-47B8-9A53-E8BAAC654D5D}" name="dealer_id"/>
    <tableColumn id="3" xr3:uid="{D53BEBD8-C175-4E81-8A54-851099ABCA39}" name="month" dataDxfId="18"/>
    <tableColumn id="4" xr3:uid="{A608FB40-169B-4453-BC1D-35BB3553D431}" name="target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/>
  </sheetViews>
  <sheetFormatPr defaultRowHeight="14.4" x14ac:dyDescent="0.3"/>
  <cols>
    <col min="1" max="1" width="10.6640625" customWidth="1"/>
    <col min="2" max="2" width="18.88671875" bestFit="1" customWidth="1"/>
    <col min="3" max="3" width="12" bestFit="1" customWidth="1"/>
    <col min="4" max="4" width="8.21875" customWidth="1"/>
    <col min="5" max="5" width="10.88671875" customWidth="1"/>
  </cols>
  <sheetData>
    <row r="1" spans="1:5" x14ac:dyDescent="0.3">
      <c r="A1" t="s">
        <v>1</v>
      </c>
      <c r="B1" t="s">
        <v>41</v>
      </c>
      <c r="C1" t="s">
        <v>42</v>
      </c>
      <c r="D1" t="s">
        <v>7</v>
      </c>
      <c r="E1" t="s">
        <v>43</v>
      </c>
    </row>
    <row r="2" spans="1:5" x14ac:dyDescent="0.3">
      <c r="A2">
        <v>1</v>
      </c>
      <c r="B2" t="s">
        <v>44</v>
      </c>
      <c r="C2" t="s">
        <v>45</v>
      </c>
      <c r="D2" t="s">
        <v>9</v>
      </c>
      <c r="E2" s="1">
        <v>44941</v>
      </c>
    </row>
    <row r="3" spans="1:5" x14ac:dyDescent="0.3">
      <c r="A3">
        <v>2</v>
      </c>
      <c r="B3" t="s">
        <v>46</v>
      </c>
      <c r="C3" t="s">
        <v>47</v>
      </c>
      <c r="D3" t="s">
        <v>9</v>
      </c>
      <c r="E3" s="1">
        <v>44967</v>
      </c>
    </row>
    <row r="4" spans="1:5" x14ac:dyDescent="0.3">
      <c r="A4">
        <v>3</v>
      </c>
      <c r="B4" t="s">
        <v>48</v>
      </c>
      <c r="C4" t="s">
        <v>49</v>
      </c>
      <c r="D4" t="s">
        <v>9</v>
      </c>
      <c r="E4" s="1">
        <v>44990</v>
      </c>
    </row>
    <row r="5" spans="1:5" x14ac:dyDescent="0.3">
      <c r="A5">
        <v>4</v>
      </c>
      <c r="B5" t="s">
        <v>50</v>
      </c>
      <c r="C5" t="s">
        <v>51</v>
      </c>
      <c r="D5" t="s">
        <v>13</v>
      </c>
      <c r="E5" s="1">
        <v>44946</v>
      </c>
    </row>
    <row r="6" spans="1:5" x14ac:dyDescent="0.3">
      <c r="A6">
        <v>5</v>
      </c>
      <c r="B6" t="s">
        <v>52</v>
      </c>
      <c r="C6" t="s">
        <v>53</v>
      </c>
      <c r="D6" t="s">
        <v>13</v>
      </c>
      <c r="E6" s="1">
        <v>45028</v>
      </c>
    </row>
    <row r="7" spans="1:5" x14ac:dyDescent="0.3">
      <c r="A7">
        <v>6</v>
      </c>
      <c r="B7" t="s">
        <v>54</v>
      </c>
      <c r="C7" t="s">
        <v>45</v>
      </c>
      <c r="D7" t="s">
        <v>9</v>
      </c>
      <c r="E7" s="1">
        <v>45047</v>
      </c>
    </row>
    <row r="8" spans="1:5" x14ac:dyDescent="0.3">
      <c r="A8">
        <v>7</v>
      </c>
      <c r="B8" t="s">
        <v>55</v>
      </c>
      <c r="C8" t="s">
        <v>47</v>
      </c>
      <c r="D8" t="s">
        <v>9</v>
      </c>
      <c r="E8" s="1">
        <v>45049</v>
      </c>
    </row>
    <row r="9" spans="1:5" x14ac:dyDescent="0.3">
      <c r="A9">
        <v>8</v>
      </c>
      <c r="B9" t="s">
        <v>56</v>
      </c>
      <c r="C9" t="s">
        <v>49</v>
      </c>
      <c r="D9" t="s">
        <v>9</v>
      </c>
      <c r="E9" s="1">
        <v>45050</v>
      </c>
    </row>
    <row r="10" spans="1:5" x14ac:dyDescent="0.3">
      <c r="A10">
        <v>9</v>
      </c>
      <c r="B10" t="s">
        <v>57</v>
      </c>
      <c r="C10" t="s">
        <v>58</v>
      </c>
      <c r="D10" t="s">
        <v>9</v>
      </c>
      <c r="E10" s="1">
        <v>45052</v>
      </c>
    </row>
    <row r="11" spans="1:5" x14ac:dyDescent="0.3">
      <c r="A11">
        <v>10</v>
      </c>
      <c r="B11" t="s">
        <v>59</v>
      </c>
      <c r="C11" t="s">
        <v>60</v>
      </c>
      <c r="D11" t="s">
        <v>9</v>
      </c>
      <c r="E11" s="1">
        <v>45054</v>
      </c>
    </row>
    <row r="12" spans="1:5" x14ac:dyDescent="0.3">
      <c r="A12">
        <v>11</v>
      </c>
      <c r="B12" t="s">
        <v>61</v>
      </c>
      <c r="C12" t="s">
        <v>62</v>
      </c>
      <c r="D12" t="s">
        <v>63</v>
      </c>
      <c r="E12" s="1">
        <v>45056</v>
      </c>
    </row>
    <row r="13" spans="1:5" x14ac:dyDescent="0.3">
      <c r="A13">
        <v>12</v>
      </c>
      <c r="B13" t="s">
        <v>64</v>
      </c>
      <c r="C13" t="s">
        <v>65</v>
      </c>
      <c r="D13" t="s">
        <v>63</v>
      </c>
      <c r="E13" s="1">
        <v>45058</v>
      </c>
    </row>
    <row r="14" spans="1:5" x14ac:dyDescent="0.3">
      <c r="A14">
        <v>13</v>
      </c>
      <c r="B14" t="s">
        <v>66</v>
      </c>
      <c r="C14" t="s">
        <v>67</v>
      </c>
      <c r="D14" t="s">
        <v>63</v>
      </c>
      <c r="E14" s="1">
        <v>45060</v>
      </c>
    </row>
    <row r="15" spans="1:5" x14ac:dyDescent="0.3">
      <c r="A15">
        <v>14</v>
      </c>
      <c r="B15" t="s">
        <v>68</v>
      </c>
      <c r="C15" t="s">
        <v>51</v>
      </c>
      <c r="D15" t="s">
        <v>13</v>
      </c>
      <c r="E15" s="1">
        <v>45062</v>
      </c>
    </row>
    <row r="16" spans="1:5" x14ac:dyDescent="0.3">
      <c r="A16">
        <v>15</v>
      </c>
      <c r="B16" t="s">
        <v>69</v>
      </c>
      <c r="C16" t="s">
        <v>70</v>
      </c>
      <c r="D16" t="s">
        <v>13</v>
      </c>
      <c r="E16" s="1">
        <v>45064</v>
      </c>
    </row>
    <row r="17" spans="1:5" x14ac:dyDescent="0.3">
      <c r="A17">
        <v>16</v>
      </c>
      <c r="B17" t="s">
        <v>71</v>
      </c>
      <c r="C17" t="s">
        <v>72</v>
      </c>
      <c r="D17" t="s">
        <v>13</v>
      </c>
      <c r="E17" s="1">
        <v>45066</v>
      </c>
    </row>
    <row r="18" spans="1:5" x14ac:dyDescent="0.3">
      <c r="A18">
        <v>17</v>
      </c>
      <c r="B18" t="s">
        <v>73</v>
      </c>
      <c r="C18" t="s">
        <v>53</v>
      </c>
      <c r="D18" t="s">
        <v>13</v>
      </c>
      <c r="E18" s="1">
        <v>45068</v>
      </c>
    </row>
    <row r="19" spans="1:5" x14ac:dyDescent="0.3">
      <c r="A19">
        <v>18</v>
      </c>
      <c r="B19" t="s">
        <v>74</v>
      </c>
      <c r="C19" t="s">
        <v>75</v>
      </c>
      <c r="D19" t="s">
        <v>76</v>
      </c>
      <c r="E19" s="1">
        <v>45070</v>
      </c>
    </row>
    <row r="20" spans="1:5" x14ac:dyDescent="0.3">
      <c r="A20">
        <v>19</v>
      </c>
      <c r="B20" t="s">
        <v>77</v>
      </c>
      <c r="C20" t="s">
        <v>78</v>
      </c>
      <c r="D20" t="s">
        <v>76</v>
      </c>
      <c r="E20" s="1">
        <v>45072</v>
      </c>
    </row>
    <row r="21" spans="1:5" x14ac:dyDescent="0.3">
      <c r="A21">
        <v>20</v>
      </c>
      <c r="B21" t="s">
        <v>79</v>
      </c>
      <c r="C21" t="s">
        <v>80</v>
      </c>
      <c r="D21" t="s">
        <v>76</v>
      </c>
      <c r="E21" s="1">
        <v>45074</v>
      </c>
    </row>
    <row r="22" spans="1:5" x14ac:dyDescent="0.3">
      <c r="A22">
        <v>21</v>
      </c>
      <c r="B22" t="s">
        <v>81</v>
      </c>
      <c r="C22" t="s">
        <v>82</v>
      </c>
      <c r="D22" t="s">
        <v>76</v>
      </c>
      <c r="E22" s="1">
        <v>45076</v>
      </c>
    </row>
    <row r="23" spans="1:5" x14ac:dyDescent="0.3">
      <c r="A23">
        <v>22</v>
      </c>
      <c r="B23" t="s">
        <v>83</v>
      </c>
      <c r="C23" t="s">
        <v>84</v>
      </c>
      <c r="D23" t="s">
        <v>85</v>
      </c>
      <c r="E23" s="1">
        <v>45078</v>
      </c>
    </row>
    <row r="24" spans="1:5" x14ac:dyDescent="0.3">
      <c r="A24">
        <v>23</v>
      </c>
      <c r="B24" t="s">
        <v>86</v>
      </c>
      <c r="C24" t="s">
        <v>87</v>
      </c>
      <c r="D24" t="s">
        <v>85</v>
      </c>
      <c r="E24" s="1">
        <v>45080</v>
      </c>
    </row>
    <row r="25" spans="1:5" x14ac:dyDescent="0.3">
      <c r="A25">
        <v>24</v>
      </c>
      <c r="B25" t="s">
        <v>88</v>
      </c>
      <c r="C25" t="s">
        <v>89</v>
      </c>
      <c r="D25" t="s">
        <v>85</v>
      </c>
      <c r="E25" s="1">
        <v>45082</v>
      </c>
    </row>
    <row r="26" spans="1:5" x14ac:dyDescent="0.3">
      <c r="A26">
        <v>25</v>
      </c>
      <c r="B26" t="s">
        <v>90</v>
      </c>
      <c r="C26" t="s">
        <v>91</v>
      </c>
      <c r="D26" t="s">
        <v>85</v>
      </c>
      <c r="E26" s="1">
        <v>45084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2B3A-FC5E-4EDE-A5F9-1906F8C8D9D6}">
  <dimension ref="A1:I501"/>
  <sheetViews>
    <sheetView workbookViewId="0">
      <selection activeCell="B1" sqref="B1"/>
    </sheetView>
  </sheetViews>
  <sheetFormatPr defaultRowHeight="14.4" x14ac:dyDescent="0.3"/>
  <cols>
    <col min="1" max="1" width="11.44140625" customWidth="1"/>
    <col min="2" max="2" width="10.6640625" customWidth="1"/>
    <col min="3" max="3" width="12.109375" customWidth="1"/>
    <col min="4" max="4" width="10" customWidth="1"/>
    <col min="5" max="5" width="13.6640625" customWidth="1"/>
    <col min="6" max="6" width="10" customWidth="1"/>
    <col min="7" max="7" width="10" bestFit="1" customWidth="1"/>
    <col min="8" max="8" width="14.33203125" customWidth="1"/>
    <col min="9" max="9" width="15.5546875" customWidth="1"/>
  </cols>
  <sheetData>
    <row r="1" spans="1:9" x14ac:dyDescent="0.3">
      <c r="A1" t="s">
        <v>35</v>
      </c>
      <c r="B1" t="s">
        <v>1</v>
      </c>
      <c r="C1" t="s">
        <v>15</v>
      </c>
      <c r="D1" t="s">
        <v>4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</row>
    <row r="2" spans="1:9" x14ac:dyDescent="0.3">
      <c r="A2">
        <v>2060</v>
      </c>
      <c r="B2">
        <v>11</v>
      </c>
      <c r="C2">
        <v>1</v>
      </c>
      <c r="D2">
        <v>1</v>
      </c>
      <c r="E2" s="1">
        <v>46041</v>
      </c>
      <c r="F2">
        <v>839.05</v>
      </c>
      <c r="G2">
        <v>88519.78</v>
      </c>
      <c r="H2">
        <v>7</v>
      </c>
      <c r="I2">
        <v>6</v>
      </c>
    </row>
    <row r="3" spans="1:9" x14ac:dyDescent="0.3">
      <c r="A3">
        <v>2061</v>
      </c>
      <c r="B3">
        <v>20</v>
      </c>
      <c r="C3">
        <v>1</v>
      </c>
      <c r="D3">
        <v>1</v>
      </c>
      <c r="E3" s="1">
        <v>46101</v>
      </c>
      <c r="F3">
        <v>374.26</v>
      </c>
      <c r="G3">
        <v>39484.43</v>
      </c>
      <c r="H3">
        <v>4</v>
      </c>
      <c r="I3">
        <v>6</v>
      </c>
    </row>
    <row r="4" spans="1:9" x14ac:dyDescent="0.3">
      <c r="A4">
        <v>2062</v>
      </c>
      <c r="B4">
        <v>2</v>
      </c>
      <c r="C4">
        <v>1</v>
      </c>
      <c r="D4">
        <v>1</v>
      </c>
      <c r="E4" s="1">
        <v>46042</v>
      </c>
      <c r="F4">
        <v>864.35</v>
      </c>
      <c r="G4">
        <v>91188.92</v>
      </c>
      <c r="H4">
        <v>5</v>
      </c>
      <c r="I4">
        <v>6</v>
      </c>
    </row>
    <row r="5" spans="1:9" x14ac:dyDescent="0.3">
      <c r="A5">
        <v>2063</v>
      </c>
      <c r="B5">
        <v>25</v>
      </c>
      <c r="C5">
        <v>1</v>
      </c>
      <c r="D5">
        <v>1</v>
      </c>
      <c r="E5" s="1">
        <v>46058</v>
      </c>
      <c r="F5">
        <v>771.64</v>
      </c>
      <c r="G5">
        <v>81408.02</v>
      </c>
      <c r="H5">
        <v>8</v>
      </c>
      <c r="I5">
        <v>6</v>
      </c>
    </row>
    <row r="6" spans="1:9" x14ac:dyDescent="0.3">
      <c r="A6">
        <v>2064</v>
      </c>
      <c r="B6">
        <v>11</v>
      </c>
      <c r="C6">
        <v>1</v>
      </c>
      <c r="D6">
        <v>1</v>
      </c>
      <c r="E6" s="1">
        <v>46043</v>
      </c>
      <c r="F6">
        <v>895.94</v>
      </c>
      <c r="G6">
        <v>94521.67</v>
      </c>
      <c r="H6">
        <v>4</v>
      </c>
      <c r="I6">
        <v>6</v>
      </c>
    </row>
    <row r="7" spans="1:9" x14ac:dyDescent="0.3">
      <c r="A7">
        <v>2065</v>
      </c>
      <c r="B7">
        <v>20</v>
      </c>
      <c r="C7">
        <v>1</v>
      </c>
      <c r="D7">
        <v>1</v>
      </c>
      <c r="E7" s="1">
        <v>46099</v>
      </c>
      <c r="F7">
        <v>288.66000000000003</v>
      </c>
      <c r="G7">
        <v>30453.63</v>
      </c>
      <c r="H7">
        <v>7</v>
      </c>
      <c r="I7">
        <v>6</v>
      </c>
    </row>
    <row r="8" spans="1:9" x14ac:dyDescent="0.3">
      <c r="A8">
        <v>2066</v>
      </c>
      <c r="B8">
        <v>11</v>
      </c>
      <c r="C8">
        <v>1</v>
      </c>
      <c r="D8">
        <v>1</v>
      </c>
      <c r="E8" s="1">
        <v>46103</v>
      </c>
      <c r="F8">
        <v>504</v>
      </c>
      <c r="G8">
        <v>53172</v>
      </c>
      <c r="H8">
        <v>6</v>
      </c>
      <c r="I8">
        <v>6</v>
      </c>
    </row>
    <row r="9" spans="1:9" x14ac:dyDescent="0.3">
      <c r="A9">
        <v>2067</v>
      </c>
      <c r="B9">
        <v>18</v>
      </c>
      <c r="C9">
        <v>1</v>
      </c>
      <c r="D9">
        <v>1</v>
      </c>
      <c r="E9" s="1">
        <v>46055</v>
      </c>
      <c r="F9">
        <v>575.66</v>
      </c>
      <c r="G9">
        <v>60732.13</v>
      </c>
      <c r="H9">
        <v>5</v>
      </c>
      <c r="I9">
        <v>6</v>
      </c>
    </row>
    <row r="10" spans="1:9" x14ac:dyDescent="0.3">
      <c r="A10">
        <v>2068</v>
      </c>
      <c r="B10">
        <v>18</v>
      </c>
      <c r="C10">
        <v>1</v>
      </c>
      <c r="D10">
        <v>1</v>
      </c>
      <c r="E10" s="1">
        <v>46046</v>
      </c>
      <c r="F10">
        <v>186.52</v>
      </c>
      <c r="G10">
        <v>19677.86</v>
      </c>
      <c r="H10">
        <v>5</v>
      </c>
      <c r="I10">
        <v>6</v>
      </c>
    </row>
    <row r="11" spans="1:9" x14ac:dyDescent="0.3">
      <c r="A11">
        <v>2069</v>
      </c>
      <c r="B11">
        <v>3</v>
      </c>
      <c r="C11">
        <v>1</v>
      </c>
      <c r="D11">
        <v>1</v>
      </c>
      <c r="E11" s="1">
        <v>46109</v>
      </c>
      <c r="F11">
        <v>749.78</v>
      </c>
      <c r="G11">
        <v>79101.789999999994</v>
      </c>
      <c r="H11">
        <v>4</v>
      </c>
      <c r="I11">
        <v>6</v>
      </c>
    </row>
    <row r="12" spans="1:9" x14ac:dyDescent="0.3">
      <c r="A12">
        <v>2070</v>
      </c>
      <c r="B12">
        <v>24</v>
      </c>
      <c r="C12">
        <v>1</v>
      </c>
      <c r="D12">
        <v>2</v>
      </c>
      <c r="E12" s="1">
        <v>46081</v>
      </c>
      <c r="F12">
        <v>868.05</v>
      </c>
      <c r="G12">
        <v>91579.28</v>
      </c>
      <c r="H12">
        <v>2</v>
      </c>
      <c r="I12">
        <v>4</v>
      </c>
    </row>
    <row r="13" spans="1:9" x14ac:dyDescent="0.3">
      <c r="A13">
        <v>2071</v>
      </c>
      <c r="B13">
        <v>17</v>
      </c>
      <c r="C13">
        <v>1</v>
      </c>
      <c r="D13">
        <v>2</v>
      </c>
      <c r="E13" s="1">
        <v>46098</v>
      </c>
      <c r="F13">
        <v>646.41</v>
      </c>
      <c r="G13">
        <v>68196.25</v>
      </c>
      <c r="H13">
        <v>6</v>
      </c>
      <c r="I13">
        <v>4</v>
      </c>
    </row>
    <row r="14" spans="1:9" x14ac:dyDescent="0.3">
      <c r="A14">
        <v>2072</v>
      </c>
      <c r="B14">
        <v>17</v>
      </c>
      <c r="C14">
        <v>1</v>
      </c>
      <c r="D14">
        <v>3</v>
      </c>
      <c r="E14" s="1">
        <v>46043</v>
      </c>
      <c r="F14">
        <v>368.39</v>
      </c>
      <c r="G14">
        <v>38865.14</v>
      </c>
      <c r="H14">
        <v>5</v>
      </c>
      <c r="I14">
        <v>4</v>
      </c>
    </row>
    <row r="15" spans="1:9" x14ac:dyDescent="0.3">
      <c r="A15">
        <v>2073</v>
      </c>
      <c r="B15">
        <v>2</v>
      </c>
      <c r="C15">
        <v>1</v>
      </c>
      <c r="D15">
        <v>3</v>
      </c>
      <c r="E15" s="1">
        <v>46108</v>
      </c>
      <c r="F15">
        <v>125.17</v>
      </c>
      <c r="G15">
        <v>13205.44</v>
      </c>
      <c r="H15">
        <v>3</v>
      </c>
      <c r="I15">
        <v>4</v>
      </c>
    </row>
    <row r="16" spans="1:9" x14ac:dyDescent="0.3">
      <c r="A16">
        <v>2074</v>
      </c>
      <c r="B16">
        <v>9</v>
      </c>
      <c r="C16">
        <v>1</v>
      </c>
      <c r="D16">
        <v>3</v>
      </c>
      <c r="E16" s="1">
        <v>46025</v>
      </c>
      <c r="F16">
        <v>462.8</v>
      </c>
      <c r="G16">
        <v>48825.4</v>
      </c>
      <c r="H16">
        <v>6</v>
      </c>
      <c r="I16">
        <v>4</v>
      </c>
    </row>
    <row r="17" spans="1:9" x14ac:dyDescent="0.3">
      <c r="A17">
        <v>2075</v>
      </c>
      <c r="B17">
        <v>9</v>
      </c>
      <c r="C17">
        <v>1</v>
      </c>
      <c r="D17">
        <v>3</v>
      </c>
      <c r="E17" s="1">
        <v>46039</v>
      </c>
      <c r="F17">
        <v>209.66</v>
      </c>
      <c r="G17">
        <v>22119.13</v>
      </c>
      <c r="H17">
        <v>3</v>
      </c>
      <c r="I17">
        <v>4</v>
      </c>
    </row>
    <row r="18" spans="1:9" x14ac:dyDescent="0.3">
      <c r="A18">
        <v>2076</v>
      </c>
      <c r="B18">
        <v>25</v>
      </c>
      <c r="C18">
        <v>1</v>
      </c>
      <c r="D18">
        <v>3</v>
      </c>
      <c r="E18" s="1">
        <v>46028</v>
      </c>
      <c r="F18">
        <v>646.49</v>
      </c>
      <c r="G18">
        <v>68204.7</v>
      </c>
      <c r="H18">
        <v>3</v>
      </c>
      <c r="I18">
        <v>4</v>
      </c>
    </row>
    <row r="19" spans="1:9" x14ac:dyDescent="0.3">
      <c r="A19">
        <v>2077</v>
      </c>
      <c r="B19">
        <v>7</v>
      </c>
      <c r="C19">
        <v>1</v>
      </c>
      <c r="D19">
        <v>4</v>
      </c>
      <c r="E19" s="1">
        <v>46063</v>
      </c>
      <c r="F19">
        <v>409.97</v>
      </c>
      <c r="G19">
        <v>43251.839999999997</v>
      </c>
      <c r="H19">
        <v>6</v>
      </c>
      <c r="I19">
        <v>6</v>
      </c>
    </row>
    <row r="20" spans="1:9" x14ac:dyDescent="0.3">
      <c r="A20">
        <v>2078</v>
      </c>
      <c r="B20">
        <v>8</v>
      </c>
      <c r="C20">
        <v>1</v>
      </c>
      <c r="D20">
        <v>4</v>
      </c>
      <c r="E20" s="1">
        <v>46080</v>
      </c>
      <c r="F20">
        <v>186.72</v>
      </c>
      <c r="G20">
        <v>19698.96</v>
      </c>
      <c r="H20">
        <v>4</v>
      </c>
      <c r="I20">
        <v>6</v>
      </c>
    </row>
    <row r="21" spans="1:9" x14ac:dyDescent="0.3">
      <c r="A21">
        <v>2079</v>
      </c>
      <c r="B21">
        <v>15</v>
      </c>
      <c r="C21">
        <v>1</v>
      </c>
      <c r="D21">
        <v>4</v>
      </c>
      <c r="E21" s="1">
        <v>46069</v>
      </c>
      <c r="F21">
        <v>675.93</v>
      </c>
      <c r="G21">
        <v>71310.61</v>
      </c>
      <c r="H21">
        <v>7</v>
      </c>
      <c r="I21">
        <v>6</v>
      </c>
    </row>
    <row r="22" spans="1:9" x14ac:dyDescent="0.3">
      <c r="A22">
        <v>2080</v>
      </c>
      <c r="B22">
        <v>22</v>
      </c>
      <c r="C22">
        <v>1</v>
      </c>
      <c r="D22">
        <v>5</v>
      </c>
      <c r="E22" s="1">
        <v>46060</v>
      </c>
      <c r="F22">
        <v>653.24</v>
      </c>
      <c r="G22">
        <v>68916.820000000007</v>
      </c>
      <c r="H22">
        <v>6</v>
      </c>
      <c r="I22">
        <v>6</v>
      </c>
    </row>
    <row r="23" spans="1:9" x14ac:dyDescent="0.3">
      <c r="A23">
        <v>2081</v>
      </c>
      <c r="B23">
        <v>7</v>
      </c>
      <c r="C23">
        <v>1</v>
      </c>
      <c r="D23">
        <v>5</v>
      </c>
      <c r="E23" s="1">
        <v>46033</v>
      </c>
      <c r="F23">
        <v>297.01</v>
      </c>
      <c r="G23">
        <v>31334.560000000001</v>
      </c>
      <c r="H23">
        <v>7</v>
      </c>
      <c r="I23">
        <v>6</v>
      </c>
    </row>
    <row r="24" spans="1:9" x14ac:dyDescent="0.3">
      <c r="A24">
        <v>2082</v>
      </c>
      <c r="B24">
        <v>8</v>
      </c>
      <c r="C24">
        <v>1</v>
      </c>
      <c r="D24">
        <v>5</v>
      </c>
      <c r="E24" s="1">
        <v>46100</v>
      </c>
      <c r="F24">
        <v>173.17</v>
      </c>
      <c r="G24">
        <v>18269.43</v>
      </c>
      <c r="H24">
        <v>5</v>
      </c>
      <c r="I24">
        <v>6</v>
      </c>
    </row>
    <row r="25" spans="1:9" x14ac:dyDescent="0.3">
      <c r="A25">
        <v>2083</v>
      </c>
      <c r="B25">
        <v>24</v>
      </c>
      <c r="C25">
        <v>1</v>
      </c>
      <c r="D25">
        <v>6</v>
      </c>
      <c r="E25" s="1">
        <v>46069</v>
      </c>
      <c r="F25">
        <v>973.62</v>
      </c>
      <c r="G25">
        <v>102716.91</v>
      </c>
      <c r="H25">
        <v>5</v>
      </c>
      <c r="I25">
        <v>6</v>
      </c>
    </row>
    <row r="26" spans="1:9" x14ac:dyDescent="0.3">
      <c r="A26">
        <v>2084</v>
      </c>
      <c r="B26">
        <v>6</v>
      </c>
      <c r="C26">
        <v>1</v>
      </c>
      <c r="D26">
        <v>6</v>
      </c>
      <c r="E26" s="1">
        <v>46075</v>
      </c>
      <c r="F26">
        <v>363.79</v>
      </c>
      <c r="G26">
        <v>38379.839999999997</v>
      </c>
      <c r="H26">
        <v>6</v>
      </c>
      <c r="I26">
        <v>6</v>
      </c>
    </row>
    <row r="27" spans="1:9" x14ac:dyDescent="0.3">
      <c r="A27">
        <v>2085</v>
      </c>
      <c r="B27">
        <v>22</v>
      </c>
      <c r="C27">
        <v>1</v>
      </c>
      <c r="D27">
        <v>6</v>
      </c>
      <c r="E27" s="1">
        <v>46100</v>
      </c>
      <c r="F27">
        <v>586.12</v>
      </c>
      <c r="G27">
        <v>61835.66</v>
      </c>
      <c r="H27">
        <v>6</v>
      </c>
      <c r="I27">
        <v>6</v>
      </c>
    </row>
    <row r="28" spans="1:9" x14ac:dyDescent="0.3">
      <c r="A28">
        <v>2086</v>
      </c>
      <c r="B28">
        <v>23</v>
      </c>
      <c r="C28">
        <v>1</v>
      </c>
      <c r="D28">
        <v>7</v>
      </c>
      <c r="E28" s="1">
        <v>46047</v>
      </c>
      <c r="F28">
        <v>320.58999999999997</v>
      </c>
      <c r="G28">
        <v>33822.239999999998</v>
      </c>
      <c r="H28">
        <v>4</v>
      </c>
      <c r="I28">
        <v>4</v>
      </c>
    </row>
    <row r="29" spans="1:9" x14ac:dyDescent="0.3">
      <c r="A29">
        <v>2087</v>
      </c>
      <c r="B29">
        <v>21</v>
      </c>
      <c r="C29">
        <v>1</v>
      </c>
      <c r="D29">
        <v>7</v>
      </c>
      <c r="E29" s="1">
        <v>46108</v>
      </c>
      <c r="F29">
        <v>928.12</v>
      </c>
      <c r="G29">
        <v>97916.66</v>
      </c>
      <c r="H29">
        <v>4</v>
      </c>
      <c r="I29">
        <v>4</v>
      </c>
    </row>
    <row r="30" spans="1:9" x14ac:dyDescent="0.3">
      <c r="A30">
        <v>2088</v>
      </c>
      <c r="B30">
        <v>13</v>
      </c>
      <c r="C30">
        <v>1</v>
      </c>
      <c r="D30">
        <v>7</v>
      </c>
      <c r="E30" s="1">
        <v>46055</v>
      </c>
      <c r="F30">
        <v>739.28</v>
      </c>
      <c r="G30">
        <v>77994.039999999994</v>
      </c>
      <c r="H30">
        <v>2</v>
      </c>
      <c r="I30">
        <v>4</v>
      </c>
    </row>
    <row r="31" spans="1:9" x14ac:dyDescent="0.3">
      <c r="A31">
        <v>2089</v>
      </c>
      <c r="B31">
        <v>14</v>
      </c>
      <c r="C31">
        <v>1</v>
      </c>
      <c r="D31">
        <v>7</v>
      </c>
      <c r="E31" s="1">
        <v>46108</v>
      </c>
      <c r="F31">
        <v>896.2</v>
      </c>
      <c r="G31">
        <v>94549.1</v>
      </c>
      <c r="H31">
        <v>3</v>
      </c>
      <c r="I31">
        <v>4</v>
      </c>
    </row>
    <row r="32" spans="1:9" x14ac:dyDescent="0.3">
      <c r="A32">
        <v>2090</v>
      </c>
      <c r="B32">
        <v>21</v>
      </c>
      <c r="C32">
        <v>1</v>
      </c>
      <c r="D32">
        <v>7</v>
      </c>
      <c r="E32" s="1">
        <v>46112</v>
      </c>
      <c r="F32">
        <v>244.29</v>
      </c>
      <c r="G32">
        <v>25772.59</v>
      </c>
      <c r="H32">
        <v>4</v>
      </c>
      <c r="I32">
        <v>4</v>
      </c>
    </row>
    <row r="33" spans="1:9" x14ac:dyDescent="0.3">
      <c r="A33">
        <v>2091</v>
      </c>
      <c r="B33">
        <v>6</v>
      </c>
      <c r="C33">
        <v>1</v>
      </c>
      <c r="D33">
        <v>7</v>
      </c>
      <c r="E33" s="1">
        <v>46105</v>
      </c>
      <c r="F33">
        <v>769.68</v>
      </c>
      <c r="G33">
        <v>81201.240000000005</v>
      </c>
      <c r="H33">
        <v>3</v>
      </c>
      <c r="I33">
        <v>4</v>
      </c>
    </row>
    <row r="34" spans="1:9" x14ac:dyDescent="0.3">
      <c r="A34">
        <v>2092</v>
      </c>
      <c r="B34">
        <v>14</v>
      </c>
      <c r="C34">
        <v>1</v>
      </c>
      <c r="D34">
        <v>8</v>
      </c>
      <c r="E34" s="1">
        <v>46064</v>
      </c>
      <c r="F34">
        <v>167.63</v>
      </c>
      <c r="G34">
        <v>17684.96</v>
      </c>
      <c r="H34">
        <v>4</v>
      </c>
      <c r="I34">
        <v>4</v>
      </c>
    </row>
    <row r="35" spans="1:9" x14ac:dyDescent="0.3">
      <c r="A35">
        <v>2093</v>
      </c>
      <c r="B35">
        <v>11</v>
      </c>
      <c r="C35">
        <v>1</v>
      </c>
      <c r="D35">
        <v>8</v>
      </c>
      <c r="E35" s="1">
        <v>46085</v>
      </c>
      <c r="F35">
        <v>307.29000000000002</v>
      </c>
      <c r="G35">
        <v>32419.1</v>
      </c>
      <c r="H35">
        <v>2</v>
      </c>
      <c r="I35">
        <v>4</v>
      </c>
    </row>
    <row r="36" spans="1:9" x14ac:dyDescent="0.3">
      <c r="A36">
        <v>2094</v>
      </c>
      <c r="B36">
        <v>5</v>
      </c>
      <c r="C36">
        <v>1</v>
      </c>
      <c r="D36">
        <v>8</v>
      </c>
      <c r="E36" s="1">
        <v>46082</v>
      </c>
      <c r="F36">
        <v>108.39</v>
      </c>
      <c r="G36">
        <v>11435.14</v>
      </c>
      <c r="H36">
        <v>3</v>
      </c>
      <c r="I36">
        <v>4</v>
      </c>
    </row>
    <row r="37" spans="1:9" x14ac:dyDescent="0.3">
      <c r="A37">
        <v>2095</v>
      </c>
      <c r="B37">
        <v>4</v>
      </c>
      <c r="C37">
        <v>1</v>
      </c>
      <c r="D37">
        <v>9</v>
      </c>
      <c r="E37" s="1">
        <v>46036</v>
      </c>
      <c r="F37">
        <v>264.27999999999997</v>
      </c>
      <c r="G37">
        <v>27881.54</v>
      </c>
      <c r="H37">
        <v>5</v>
      </c>
      <c r="I37">
        <v>6</v>
      </c>
    </row>
    <row r="38" spans="1:9" x14ac:dyDescent="0.3">
      <c r="A38">
        <v>2096</v>
      </c>
      <c r="B38">
        <v>12</v>
      </c>
      <c r="C38">
        <v>1</v>
      </c>
      <c r="D38">
        <v>9</v>
      </c>
      <c r="E38" s="1">
        <v>46028</v>
      </c>
      <c r="F38">
        <v>821.45</v>
      </c>
      <c r="G38">
        <v>86662.98</v>
      </c>
      <c r="H38">
        <v>6</v>
      </c>
      <c r="I38">
        <v>6</v>
      </c>
    </row>
    <row r="39" spans="1:9" x14ac:dyDescent="0.3">
      <c r="A39">
        <v>2097</v>
      </c>
      <c r="B39">
        <v>20</v>
      </c>
      <c r="C39">
        <v>1</v>
      </c>
      <c r="D39">
        <v>9</v>
      </c>
      <c r="E39" s="1">
        <v>46024</v>
      </c>
      <c r="F39">
        <v>659.45</v>
      </c>
      <c r="G39">
        <v>69571.98</v>
      </c>
      <c r="H39">
        <v>6</v>
      </c>
      <c r="I39">
        <v>6</v>
      </c>
    </row>
    <row r="40" spans="1:9" x14ac:dyDescent="0.3">
      <c r="A40">
        <v>2098</v>
      </c>
      <c r="B40">
        <v>13</v>
      </c>
      <c r="C40">
        <v>1</v>
      </c>
      <c r="D40">
        <v>9</v>
      </c>
      <c r="E40" s="1">
        <v>46105</v>
      </c>
      <c r="F40">
        <v>201.2</v>
      </c>
      <c r="G40">
        <v>21226.6</v>
      </c>
      <c r="H40">
        <v>4</v>
      </c>
      <c r="I40">
        <v>6</v>
      </c>
    </row>
    <row r="41" spans="1:9" x14ac:dyDescent="0.3">
      <c r="A41">
        <v>2099</v>
      </c>
      <c r="B41">
        <v>21</v>
      </c>
      <c r="C41">
        <v>1</v>
      </c>
      <c r="D41">
        <v>9</v>
      </c>
      <c r="E41" s="1">
        <v>46110</v>
      </c>
      <c r="F41">
        <v>464.14</v>
      </c>
      <c r="G41">
        <v>48966.77</v>
      </c>
      <c r="H41">
        <v>5</v>
      </c>
      <c r="I41">
        <v>6</v>
      </c>
    </row>
    <row r="42" spans="1:9" x14ac:dyDescent="0.3">
      <c r="A42">
        <v>2100</v>
      </c>
      <c r="B42">
        <v>19</v>
      </c>
      <c r="C42">
        <v>1</v>
      </c>
      <c r="D42">
        <v>9</v>
      </c>
      <c r="E42" s="1">
        <v>46060</v>
      </c>
      <c r="F42">
        <v>461.65</v>
      </c>
      <c r="G42">
        <v>48704.08</v>
      </c>
      <c r="H42">
        <v>7</v>
      </c>
      <c r="I42">
        <v>6</v>
      </c>
    </row>
    <row r="43" spans="1:9" x14ac:dyDescent="0.3">
      <c r="A43">
        <v>2101</v>
      </c>
      <c r="B43">
        <v>21</v>
      </c>
      <c r="C43">
        <v>1</v>
      </c>
      <c r="D43">
        <v>9</v>
      </c>
      <c r="E43" s="1">
        <v>46026</v>
      </c>
      <c r="F43">
        <v>705.38</v>
      </c>
      <c r="G43">
        <v>74417.59</v>
      </c>
      <c r="H43">
        <v>6</v>
      </c>
      <c r="I43">
        <v>6</v>
      </c>
    </row>
    <row r="44" spans="1:9" x14ac:dyDescent="0.3">
      <c r="A44">
        <v>2102</v>
      </c>
      <c r="B44">
        <v>20</v>
      </c>
      <c r="C44">
        <v>1</v>
      </c>
      <c r="D44">
        <v>10</v>
      </c>
      <c r="E44" s="1">
        <v>46087</v>
      </c>
      <c r="F44">
        <v>671.5</v>
      </c>
      <c r="G44">
        <v>70843.25</v>
      </c>
      <c r="H44">
        <v>5</v>
      </c>
      <c r="I44">
        <v>6</v>
      </c>
    </row>
    <row r="45" spans="1:9" x14ac:dyDescent="0.3">
      <c r="A45">
        <v>2103</v>
      </c>
      <c r="B45">
        <v>1</v>
      </c>
      <c r="C45">
        <v>1</v>
      </c>
      <c r="D45">
        <v>10</v>
      </c>
      <c r="E45" s="1">
        <v>46108</v>
      </c>
      <c r="F45">
        <v>797.26</v>
      </c>
      <c r="G45">
        <v>84110.93</v>
      </c>
      <c r="H45">
        <v>6</v>
      </c>
      <c r="I45">
        <v>6</v>
      </c>
    </row>
    <row r="46" spans="1:9" x14ac:dyDescent="0.3">
      <c r="A46">
        <v>2104</v>
      </c>
      <c r="B46">
        <v>2</v>
      </c>
      <c r="C46">
        <v>1</v>
      </c>
      <c r="D46">
        <v>10</v>
      </c>
      <c r="E46" s="1">
        <v>46088</v>
      </c>
      <c r="F46">
        <v>785.05</v>
      </c>
      <c r="G46">
        <v>82822.77</v>
      </c>
      <c r="H46">
        <v>4</v>
      </c>
      <c r="I46">
        <v>6</v>
      </c>
    </row>
    <row r="47" spans="1:9" x14ac:dyDescent="0.3">
      <c r="A47">
        <v>2105</v>
      </c>
      <c r="B47">
        <v>14</v>
      </c>
      <c r="C47">
        <v>2</v>
      </c>
      <c r="D47">
        <v>1</v>
      </c>
      <c r="E47" s="1">
        <v>46107</v>
      </c>
      <c r="F47">
        <v>547.77</v>
      </c>
      <c r="G47">
        <v>50559.17</v>
      </c>
      <c r="H47">
        <v>5</v>
      </c>
      <c r="I47">
        <v>6</v>
      </c>
    </row>
    <row r="48" spans="1:9" x14ac:dyDescent="0.3">
      <c r="A48">
        <v>2106</v>
      </c>
      <c r="B48">
        <v>4</v>
      </c>
      <c r="C48">
        <v>2</v>
      </c>
      <c r="D48">
        <v>2</v>
      </c>
      <c r="E48" s="1">
        <v>46048</v>
      </c>
      <c r="F48">
        <v>154.46</v>
      </c>
      <c r="G48">
        <v>14256.66</v>
      </c>
      <c r="H48">
        <v>2</v>
      </c>
      <c r="I48">
        <v>4</v>
      </c>
    </row>
    <row r="49" spans="1:9" x14ac:dyDescent="0.3">
      <c r="A49">
        <v>2107</v>
      </c>
      <c r="B49">
        <v>12</v>
      </c>
      <c r="C49">
        <v>2</v>
      </c>
      <c r="D49">
        <v>2</v>
      </c>
      <c r="E49" s="1">
        <v>46063</v>
      </c>
      <c r="F49">
        <v>807.46</v>
      </c>
      <c r="G49">
        <v>74528.56</v>
      </c>
      <c r="H49">
        <v>6</v>
      </c>
      <c r="I49">
        <v>4</v>
      </c>
    </row>
    <row r="50" spans="1:9" x14ac:dyDescent="0.3">
      <c r="A50">
        <v>2108</v>
      </c>
      <c r="B50">
        <v>4</v>
      </c>
      <c r="C50">
        <v>2</v>
      </c>
      <c r="D50">
        <v>2</v>
      </c>
      <c r="E50" s="1">
        <v>46046</v>
      </c>
      <c r="F50">
        <v>942.77</v>
      </c>
      <c r="G50">
        <v>87017.67</v>
      </c>
      <c r="H50">
        <v>3</v>
      </c>
      <c r="I50">
        <v>4</v>
      </c>
    </row>
    <row r="51" spans="1:9" x14ac:dyDescent="0.3">
      <c r="A51">
        <v>2109</v>
      </c>
      <c r="B51">
        <v>4</v>
      </c>
      <c r="C51">
        <v>2</v>
      </c>
      <c r="D51">
        <v>2</v>
      </c>
      <c r="E51" s="1">
        <v>46078</v>
      </c>
      <c r="F51">
        <v>575.91</v>
      </c>
      <c r="G51">
        <v>53156.49</v>
      </c>
      <c r="H51">
        <v>2</v>
      </c>
      <c r="I51">
        <v>4</v>
      </c>
    </row>
    <row r="52" spans="1:9" x14ac:dyDescent="0.3">
      <c r="A52">
        <v>2110</v>
      </c>
      <c r="B52">
        <v>19</v>
      </c>
      <c r="C52">
        <v>2</v>
      </c>
      <c r="D52">
        <v>3</v>
      </c>
      <c r="E52" s="1">
        <v>46108</v>
      </c>
      <c r="F52">
        <v>142.69</v>
      </c>
      <c r="G52">
        <v>13170.29</v>
      </c>
      <c r="H52">
        <v>6</v>
      </c>
      <c r="I52">
        <v>4</v>
      </c>
    </row>
    <row r="53" spans="1:9" x14ac:dyDescent="0.3">
      <c r="A53">
        <v>2111</v>
      </c>
      <c r="B53">
        <v>3</v>
      </c>
      <c r="C53">
        <v>2</v>
      </c>
      <c r="D53">
        <v>3</v>
      </c>
      <c r="E53" s="1">
        <v>46108</v>
      </c>
      <c r="F53">
        <v>990.54</v>
      </c>
      <c r="G53">
        <v>91426.84</v>
      </c>
      <c r="H53">
        <v>3</v>
      </c>
      <c r="I53">
        <v>4</v>
      </c>
    </row>
    <row r="54" spans="1:9" x14ac:dyDescent="0.3">
      <c r="A54">
        <v>2112</v>
      </c>
      <c r="B54">
        <v>12</v>
      </c>
      <c r="C54">
        <v>2</v>
      </c>
      <c r="D54">
        <v>3</v>
      </c>
      <c r="E54" s="1">
        <v>46106</v>
      </c>
      <c r="F54">
        <v>868.29</v>
      </c>
      <c r="G54">
        <v>80143.17</v>
      </c>
      <c r="H54">
        <v>3</v>
      </c>
      <c r="I54">
        <v>4</v>
      </c>
    </row>
    <row r="55" spans="1:9" x14ac:dyDescent="0.3">
      <c r="A55">
        <v>2113</v>
      </c>
      <c r="B55">
        <v>21</v>
      </c>
      <c r="C55">
        <v>2</v>
      </c>
      <c r="D55">
        <v>3</v>
      </c>
      <c r="E55" s="1">
        <v>46089</v>
      </c>
      <c r="F55">
        <v>102.7</v>
      </c>
      <c r="G55">
        <v>9479.2099999999991</v>
      </c>
      <c r="H55">
        <v>4</v>
      </c>
      <c r="I55">
        <v>4</v>
      </c>
    </row>
    <row r="56" spans="1:9" x14ac:dyDescent="0.3">
      <c r="A56">
        <v>2114</v>
      </c>
      <c r="B56">
        <v>19</v>
      </c>
      <c r="C56">
        <v>2</v>
      </c>
      <c r="D56">
        <v>4</v>
      </c>
      <c r="E56" s="1">
        <v>46060</v>
      </c>
      <c r="F56">
        <v>124.26</v>
      </c>
      <c r="G56">
        <v>11469.2</v>
      </c>
      <c r="H56">
        <v>6</v>
      </c>
      <c r="I56">
        <v>6</v>
      </c>
    </row>
    <row r="57" spans="1:9" x14ac:dyDescent="0.3">
      <c r="A57">
        <v>2115</v>
      </c>
      <c r="B57">
        <v>12</v>
      </c>
      <c r="C57">
        <v>2</v>
      </c>
      <c r="D57">
        <v>4</v>
      </c>
      <c r="E57" s="1">
        <v>46044</v>
      </c>
      <c r="F57">
        <v>281.61</v>
      </c>
      <c r="G57">
        <v>25992.6</v>
      </c>
      <c r="H57">
        <v>4</v>
      </c>
      <c r="I57">
        <v>6</v>
      </c>
    </row>
    <row r="58" spans="1:9" x14ac:dyDescent="0.3">
      <c r="A58">
        <v>2116</v>
      </c>
      <c r="B58">
        <v>19</v>
      </c>
      <c r="C58">
        <v>2</v>
      </c>
      <c r="D58">
        <v>4</v>
      </c>
      <c r="E58" s="1">
        <v>46043</v>
      </c>
      <c r="F58">
        <v>279.81</v>
      </c>
      <c r="G58">
        <v>25826.46</v>
      </c>
      <c r="H58">
        <v>6</v>
      </c>
      <c r="I58">
        <v>6</v>
      </c>
    </row>
    <row r="59" spans="1:9" x14ac:dyDescent="0.3">
      <c r="A59">
        <v>2117</v>
      </c>
      <c r="B59">
        <v>18</v>
      </c>
      <c r="C59">
        <v>2</v>
      </c>
      <c r="D59">
        <v>4</v>
      </c>
      <c r="E59" s="1">
        <v>46074</v>
      </c>
      <c r="F59">
        <v>807.49</v>
      </c>
      <c r="G59">
        <v>74531.33</v>
      </c>
      <c r="H59">
        <v>8</v>
      </c>
      <c r="I59">
        <v>6</v>
      </c>
    </row>
    <row r="60" spans="1:9" x14ac:dyDescent="0.3">
      <c r="A60">
        <v>2118</v>
      </c>
      <c r="B60">
        <v>3</v>
      </c>
      <c r="C60">
        <v>2</v>
      </c>
      <c r="D60">
        <v>5</v>
      </c>
      <c r="E60" s="1">
        <v>46080</v>
      </c>
      <c r="F60">
        <v>940.28</v>
      </c>
      <c r="G60">
        <v>86787.839999999997</v>
      </c>
      <c r="H60">
        <v>4</v>
      </c>
      <c r="I60">
        <v>6</v>
      </c>
    </row>
    <row r="61" spans="1:9" x14ac:dyDescent="0.3">
      <c r="A61">
        <v>2119</v>
      </c>
      <c r="B61">
        <v>20</v>
      </c>
      <c r="C61">
        <v>2</v>
      </c>
      <c r="D61">
        <v>5</v>
      </c>
      <c r="E61" s="1">
        <v>46075</v>
      </c>
      <c r="F61">
        <v>711.2</v>
      </c>
      <c r="G61">
        <v>65643.759999999995</v>
      </c>
      <c r="H61">
        <v>9</v>
      </c>
      <c r="I61">
        <v>6</v>
      </c>
    </row>
    <row r="62" spans="1:9" x14ac:dyDescent="0.3">
      <c r="A62">
        <v>2120</v>
      </c>
      <c r="B62">
        <v>17</v>
      </c>
      <c r="C62">
        <v>2</v>
      </c>
      <c r="D62">
        <v>5</v>
      </c>
      <c r="E62" s="1">
        <v>46098</v>
      </c>
      <c r="F62">
        <v>951.35</v>
      </c>
      <c r="G62">
        <v>87809.600000000006</v>
      </c>
      <c r="H62">
        <v>6</v>
      </c>
      <c r="I62">
        <v>6</v>
      </c>
    </row>
    <row r="63" spans="1:9" x14ac:dyDescent="0.3">
      <c r="A63">
        <v>2121</v>
      </c>
      <c r="B63">
        <v>17</v>
      </c>
      <c r="C63">
        <v>2</v>
      </c>
      <c r="D63">
        <v>5</v>
      </c>
      <c r="E63" s="1">
        <v>46093</v>
      </c>
      <c r="F63">
        <v>756.32</v>
      </c>
      <c r="G63">
        <v>69808.34</v>
      </c>
      <c r="H63">
        <v>6</v>
      </c>
      <c r="I63">
        <v>6</v>
      </c>
    </row>
    <row r="64" spans="1:9" x14ac:dyDescent="0.3">
      <c r="A64">
        <v>2122</v>
      </c>
      <c r="B64">
        <v>18</v>
      </c>
      <c r="C64">
        <v>2</v>
      </c>
      <c r="D64">
        <v>5</v>
      </c>
      <c r="E64" s="1">
        <v>46103</v>
      </c>
      <c r="F64">
        <v>212.49</v>
      </c>
      <c r="G64">
        <v>19612.830000000002</v>
      </c>
      <c r="H64">
        <v>4</v>
      </c>
      <c r="I64">
        <v>6</v>
      </c>
    </row>
    <row r="65" spans="1:9" x14ac:dyDescent="0.3">
      <c r="A65">
        <v>2123</v>
      </c>
      <c r="B65">
        <v>18</v>
      </c>
      <c r="C65">
        <v>2</v>
      </c>
      <c r="D65">
        <v>6</v>
      </c>
      <c r="E65" s="1">
        <v>46068</v>
      </c>
      <c r="F65">
        <v>783.26</v>
      </c>
      <c r="G65">
        <v>72294.899999999994</v>
      </c>
      <c r="H65">
        <v>6</v>
      </c>
      <c r="I65">
        <v>6</v>
      </c>
    </row>
    <row r="66" spans="1:9" x14ac:dyDescent="0.3">
      <c r="A66">
        <v>2124</v>
      </c>
      <c r="B66">
        <v>17</v>
      </c>
      <c r="C66">
        <v>2</v>
      </c>
      <c r="D66">
        <v>6</v>
      </c>
      <c r="E66" s="1">
        <v>46071</v>
      </c>
      <c r="F66">
        <v>988.36</v>
      </c>
      <c r="G66">
        <v>91225.63</v>
      </c>
      <c r="H66">
        <v>6</v>
      </c>
      <c r="I66">
        <v>6</v>
      </c>
    </row>
    <row r="67" spans="1:9" x14ac:dyDescent="0.3">
      <c r="A67">
        <v>2125</v>
      </c>
      <c r="B67">
        <v>16</v>
      </c>
      <c r="C67">
        <v>2</v>
      </c>
      <c r="D67">
        <v>7</v>
      </c>
      <c r="E67" s="1">
        <v>46024</v>
      </c>
      <c r="F67">
        <v>196.33</v>
      </c>
      <c r="G67">
        <v>18121.259999999998</v>
      </c>
      <c r="H67">
        <v>3</v>
      </c>
      <c r="I67">
        <v>4</v>
      </c>
    </row>
    <row r="68" spans="1:9" x14ac:dyDescent="0.3">
      <c r="A68">
        <v>2126</v>
      </c>
      <c r="B68">
        <v>7</v>
      </c>
      <c r="C68">
        <v>2</v>
      </c>
      <c r="D68">
        <v>7</v>
      </c>
      <c r="E68" s="1">
        <v>46102</v>
      </c>
      <c r="F68">
        <v>569.64</v>
      </c>
      <c r="G68">
        <v>52577.77</v>
      </c>
      <c r="H68">
        <v>2</v>
      </c>
      <c r="I68">
        <v>4</v>
      </c>
    </row>
    <row r="69" spans="1:9" x14ac:dyDescent="0.3">
      <c r="A69">
        <v>2127</v>
      </c>
      <c r="B69">
        <v>18</v>
      </c>
      <c r="C69">
        <v>2</v>
      </c>
      <c r="D69">
        <v>7</v>
      </c>
      <c r="E69" s="1">
        <v>46112</v>
      </c>
      <c r="F69">
        <v>907.99</v>
      </c>
      <c r="G69">
        <v>83807.48</v>
      </c>
      <c r="H69">
        <v>4</v>
      </c>
      <c r="I69">
        <v>4</v>
      </c>
    </row>
    <row r="70" spans="1:9" x14ac:dyDescent="0.3">
      <c r="A70">
        <v>2128</v>
      </c>
      <c r="B70">
        <v>25</v>
      </c>
      <c r="C70">
        <v>2</v>
      </c>
      <c r="D70">
        <v>7</v>
      </c>
      <c r="E70" s="1">
        <v>46104</v>
      </c>
      <c r="F70">
        <v>656.21</v>
      </c>
      <c r="G70">
        <v>60568.18</v>
      </c>
      <c r="H70">
        <v>5</v>
      </c>
      <c r="I70">
        <v>4</v>
      </c>
    </row>
    <row r="71" spans="1:9" x14ac:dyDescent="0.3">
      <c r="A71">
        <v>2129</v>
      </c>
      <c r="B71">
        <v>24</v>
      </c>
      <c r="C71">
        <v>2</v>
      </c>
      <c r="D71">
        <v>8</v>
      </c>
      <c r="E71" s="1">
        <v>46046</v>
      </c>
      <c r="F71">
        <v>240.43</v>
      </c>
      <c r="G71">
        <v>22191.69</v>
      </c>
      <c r="H71">
        <v>3</v>
      </c>
      <c r="I71">
        <v>4</v>
      </c>
    </row>
    <row r="72" spans="1:9" x14ac:dyDescent="0.3">
      <c r="A72">
        <v>2130</v>
      </c>
      <c r="B72">
        <v>9</v>
      </c>
      <c r="C72">
        <v>2</v>
      </c>
      <c r="D72">
        <v>8</v>
      </c>
      <c r="E72" s="1">
        <v>46044</v>
      </c>
      <c r="F72">
        <v>991.33</v>
      </c>
      <c r="G72">
        <v>91499.76</v>
      </c>
      <c r="H72">
        <v>2</v>
      </c>
      <c r="I72">
        <v>4</v>
      </c>
    </row>
    <row r="73" spans="1:9" x14ac:dyDescent="0.3">
      <c r="A73">
        <v>2131</v>
      </c>
      <c r="B73">
        <v>8</v>
      </c>
      <c r="C73">
        <v>2</v>
      </c>
      <c r="D73">
        <v>9</v>
      </c>
      <c r="E73" s="1">
        <v>46110</v>
      </c>
      <c r="F73">
        <v>289.56</v>
      </c>
      <c r="G73">
        <v>26726.39</v>
      </c>
      <c r="H73">
        <v>5</v>
      </c>
      <c r="I73">
        <v>6</v>
      </c>
    </row>
    <row r="74" spans="1:9" x14ac:dyDescent="0.3">
      <c r="A74">
        <v>2132</v>
      </c>
      <c r="B74">
        <v>23</v>
      </c>
      <c r="C74">
        <v>2</v>
      </c>
      <c r="D74">
        <v>9</v>
      </c>
      <c r="E74" s="1">
        <v>46091</v>
      </c>
      <c r="F74">
        <v>397.76</v>
      </c>
      <c r="G74">
        <v>36713.25</v>
      </c>
      <c r="H74">
        <v>5</v>
      </c>
      <c r="I74">
        <v>6</v>
      </c>
    </row>
    <row r="75" spans="1:9" x14ac:dyDescent="0.3">
      <c r="A75">
        <v>2133</v>
      </c>
      <c r="B75">
        <v>13</v>
      </c>
      <c r="C75">
        <v>2</v>
      </c>
      <c r="D75">
        <v>10</v>
      </c>
      <c r="E75" s="1">
        <v>46088</v>
      </c>
      <c r="F75">
        <v>667.92</v>
      </c>
      <c r="G75">
        <v>61649.02</v>
      </c>
      <c r="H75">
        <v>5</v>
      </c>
      <c r="I75">
        <v>6</v>
      </c>
    </row>
    <row r="76" spans="1:9" x14ac:dyDescent="0.3">
      <c r="A76">
        <v>2134</v>
      </c>
      <c r="B76">
        <v>5</v>
      </c>
      <c r="C76">
        <v>2</v>
      </c>
      <c r="D76">
        <v>10</v>
      </c>
      <c r="E76" s="1">
        <v>46054</v>
      </c>
      <c r="F76">
        <v>974.55</v>
      </c>
      <c r="G76">
        <v>89950.96</v>
      </c>
      <c r="H76">
        <v>4</v>
      </c>
      <c r="I76">
        <v>6</v>
      </c>
    </row>
    <row r="77" spans="1:9" x14ac:dyDescent="0.3">
      <c r="A77">
        <v>2135</v>
      </c>
      <c r="B77">
        <v>6</v>
      </c>
      <c r="C77">
        <v>2</v>
      </c>
      <c r="D77">
        <v>10</v>
      </c>
      <c r="E77" s="1">
        <v>46067</v>
      </c>
      <c r="F77">
        <v>574.46</v>
      </c>
      <c r="G77">
        <v>53022.66</v>
      </c>
      <c r="H77">
        <v>8</v>
      </c>
      <c r="I77">
        <v>6</v>
      </c>
    </row>
    <row r="78" spans="1:9" x14ac:dyDescent="0.3">
      <c r="A78">
        <v>2136</v>
      </c>
      <c r="B78">
        <v>8</v>
      </c>
      <c r="C78">
        <v>3</v>
      </c>
      <c r="D78">
        <v>1</v>
      </c>
      <c r="E78" s="1">
        <v>46104</v>
      </c>
      <c r="F78">
        <v>303.3</v>
      </c>
      <c r="G78">
        <v>34197.08</v>
      </c>
      <c r="H78">
        <v>6</v>
      </c>
      <c r="I78">
        <v>6</v>
      </c>
    </row>
    <row r="79" spans="1:9" x14ac:dyDescent="0.3">
      <c r="A79">
        <v>2137</v>
      </c>
      <c r="B79">
        <v>16</v>
      </c>
      <c r="C79">
        <v>3</v>
      </c>
      <c r="D79">
        <v>1</v>
      </c>
      <c r="E79" s="1">
        <v>46078</v>
      </c>
      <c r="F79">
        <v>111.17</v>
      </c>
      <c r="G79">
        <v>12534.42</v>
      </c>
      <c r="H79">
        <v>7</v>
      </c>
      <c r="I79">
        <v>6</v>
      </c>
    </row>
    <row r="80" spans="1:9" x14ac:dyDescent="0.3">
      <c r="A80">
        <v>2138</v>
      </c>
      <c r="B80">
        <v>17</v>
      </c>
      <c r="C80">
        <v>3</v>
      </c>
      <c r="D80">
        <v>1</v>
      </c>
      <c r="E80" s="1">
        <v>46098</v>
      </c>
      <c r="F80">
        <v>896.78</v>
      </c>
      <c r="G80">
        <v>101111.94</v>
      </c>
      <c r="H80">
        <v>7</v>
      </c>
      <c r="I80">
        <v>6</v>
      </c>
    </row>
    <row r="81" spans="1:9" x14ac:dyDescent="0.3">
      <c r="A81">
        <v>2139</v>
      </c>
      <c r="B81">
        <v>17</v>
      </c>
      <c r="C81">
        <v>3</v>
      </c>
      <c r="D81">
        <v>1</v>
      </c>
      <c r="E81" s="1">
        <v>46070</v>
      </c>
      <c r="F81">
        <v>572.54</v>
      </c>
      <c r="G81">
        <v>64553.88</v>
      </c>
      <c r="H81">
        <v>8</v>
      </c>
      <c r="I81">
        <v>6</v>
      </c>
    </row>
    <row r="82" spans="1:9" x14ac:dyDescent="0.3">
      <c r="A82">
        <v>2140</v>
      </c>
      <c r="B82">
        <v>14</v>
      </c>
      <c r="C82">
        <v>3</v>
      </c>
      <c r="D82">
        <v>2</v>
      </c>
      <c r="E82" s="1">
        <v>46063</v>
      </c>
      <c r="F82">
        <v>719.96</v>
      </c>
      <c r="G82">
        <v>81175.490000000005</v>
      </c>
      <c r="H82">
        <v>2</v>
      </c>
      <c r="I82">
        <v>4</v>
      </c>
    </row>
    <row r="83" spans="1:9" x14ac:dyDescent="0.3">
      <c r="A83">
        <v>2141</v>
      </c>
      <c r="B83">
        <v>24</v>
      </c>
      <c r="C83">
        <v>3</v>
      </c>
      <c r="D83">
        <v>2</v>
      </c>
      <c r="E83" s="1">
        <v>46035</v>
      </c>
      <c r="F83">
        <v>371.19</v>
      </c>
      <c r="G83">
        <v>41851.67</v>
      </c>
      <c r="H83">
        <v>6</v>
      </c>
      <c r="I83">
        <v>4</v>
      </c>
    </row>
    <row r="84" spans="1:9" x14ac:dyDescent="0.3">
      <c r="A84">
        <v>2142</v>
      </c>
      <c r="B84">
        <v>7</v>
      </c>
      <c r="C84">
        <v>3</v>
      </c>
      <c r="D84">
        <v>2</v>
      </c>
      <c r="E84" s="1">
        <v>46049</v>
      </c>
      <c r="F84">
        <v>960.92</v>
      </c>
      <c r="G84">
        <v>108343.73</v>
      </c>
      <c r="H84">
        <v>5</v>
      </c>
      <c r="I84">
        <v>4</v>
      </c>
    </row>
    <row r="85" spans="1:9" x14ac:dyDescent="0.3">
      <c r="A85">
        <v>2143</v>
      </c>
      <c r="B85">
        <v>7</v>
      </c>
      <c r="C85">
        <v>3</v>
      </c>
      <c r="D85">
        <v>2</v>
      </c>
      <c r="E85" s="1">
        <v>46037</v>
      </c>
      <c r="F85">
        <v>438.24</v>
      </c>
      <c r="G85">
        <v>49411.56</v>
      </c>
      <c r="H85">
        <v>5</v>
      </c>
      <c r="I85">
        <v>4</v>
      </c>
    </row>
    <row r="86" spans="1:9" x14ac:dyDescent="0.3">
      <c r="A86">
        <v>2144</v>
      </c>
      <c r="B86">
        <v>16</v>
      </c>
      <c r="C86">
        <v>3</v>
      </c>
      <c r="D86">
        <v>2</v>
      </c>
      <c r="E86" s="1">
        <v>46109</v>
      </c>
      <c r="F86">
        <v>524.19000000000005</v>
      </c>
      <c r="G86">
        <v>59102.42</v>
      </c>
      <c r="H86">
        <v>3</v>
      </c>
      <c r="I86">
        <v>4</v>
      </c>
    </row>
    <row r="87" spans="1:9" x14ac:dyDescent="0.3">
      <c r="A87">
        <v>2145</v>
      </c>
      <c r="B87">
        <v>7</v>
      </c>
      <c r="C87">
        <v>3</v>
      </c>
      <c r="D87">
        <v>3</v>
      </c>
      <c r="E87" s="1">
        <v>46094</v>
      </c>
      <c r="F87">
        <v>177.51</v>
      </c>
      <c r="G87">
        <v>20014.25</v>
      </c>
      <c r="H87">
        <v>5</v>
      </c>
      <c r="I87">
        <v>4</v>
      </c>
    </row>
    <row r="88" spans="1:9" x14ac:dyDescent="0.3">
      <c r="A88">
        <v>2146</v>
      </c>
      <c r="B88">
        <v>8</v>
      </c>
      <c r="C88">
        <v>3</v>
      </c>
      <c r="D88">
        <v>3</v>
      </c>
      <c r="E88" s="1">
        <v>46080</v>
      </c>
      <c r="F88">
        <v>450.99</v>
      </c>
      <c r="G88">
        <v>50849.120000000003</v>
      </c>
      <c r="H88">
        <v>5</v>
      </c>
      <c r="I88">
        <v>4</v>
      </c>
    </row>
    <row r="89" spans="1:9" x14ac:dyDescent="0.3">
      <c r="A89">
        <v>2147</v>
      </c>
      <c r="B89">
        <v>24</v>
      </c>
      <c r="C89">
        <v>3</v>
      </c>
      <c r="D89">
        <v>3</v>
      </c>
      <c r="E89" s="1">
        <v>46069</v>
      </c>
      <c r="F89">
        <v>909.76</v>
      </c>
      <c r="G89">
        <v>102575.44</v>
      </c>
      <c r="H89">
        <v>6</v>
      </c>
      <c r="I89">
        <v>4</v>
      </c>
    </row>
    <row r="90" spans="1:9" x14ac:dyDescent="0.3">
      <c r="A90">
        <v>2148</v>
      </c>
      <c r="B90">
        <v>7</v>
      </c>
      <c r="C90">
        <v>3</v>
      </c>
      <c r="D90">
        <v>3</v>
      </c>
      <c r="E90" s="1">
        <v>46100</v>
      </c>
      <c r="F90">
        <v>471.51</v>
      </c>
      <c r="G90">
        <v>53162.75</v>
      </c>
      <c r="H90">
        <v>7</v>
      </c>
      <c r="I90">
        <v>4</v>
      </c>
    </row>
    <row r="91" spans="1:9" x14ac:dyDescent="0.3">
      <c r="A91">
        <v>2149</v>
      </c>
      <c r="B91">
        <v>6</v>
      </c>
      <c r="C91">
        <v>3</v>
      </c>
      <c r="D91">
        <v>4</v>
      </c>
      <c r="E91" s="1">
        <v>46024</v>
      </c>
      <c r="F91">
        <v>188.25</v>
      </c>
      <c r="G91">
        <v>21225.19</v>
      </c>
      <c r="H91">
        <v>9</v>
      </c>
      <c r="I91">
        <v>6</v>
      </c>
    </row>
    <row r="92" spans="1:9" x14ac:dyDescent="0.3">
      <c r="A92">
        <v>2150</v>
      </c>
      <c r="B92">
        <v>6</v>
      </c>
      <c r="C92">
        <v>3</v>
      </c>
      <c r="D92">
        <v>4</v>
      </c>
      <c r="E92" s="1">
        <v>46108</v>
      </c>
      <c r="F92">
        <v>822.27</v>
      </c>
      <c r="G92">
        <v>92710.94</v>
      </c>
      <c r="H92">
        <v>5</v>
      </c>
      <c r="I92">
        <v>6</v>
      </c>
    </row>
    <row r="93" spans="1:9" x14ac:dyDescent="0.3">
      <c r="A93">
        <v>2151</v>
      </c>
      <c r="B93">
        <v>6</v>
      </c>
      <c r="C93">
        <v>3</v>
      </c>
      <c r="D93">
        <v>4</v>
      </c>
      <c r="E93" s="1">
        <v>46027</v>
      </c>
      <c r="F93">
        <v>342.53</v>
      </c>
      <c r="G93">
        <v>38620.26</v>
      </c>
      <c r="H93">
        <v>6</v>
      </c>
      <c r="I93">
        <v>6</v>
      </c>
    </row>
    <row r="94" spans="1:9" x14ac:dyDescent="0.3">
      <c r="A94">
        <v>2152</v>
      </c>
      <c r="B94">
        <v>6</v>
      </c>
      <c r="C94">
        <v>3</v>
      </c>
      <c r="D94">
        <v>4</v>
      </c>
      <c r="E94" s="1">
        <v>46106</v>
      </c>
      <c r="F94">
        <v>737.2</v>
      </c>
      <c r="G94">
        <v>83119.3</v>
      </c>
      <c r="H94">
        <v>5</v>
      </c>
      <c r="I94">
        <v>6</v>
      </c>
    </row>
    <row r="95" spans="1:9" x14ac:dyDescent="0.3">
      <c r="A95">
        <v>2153</v>
      </c>
      <c r="B95">
        <v>6</v>
      </c>
      <c r="C95">
        <v>3</v>
      </c>
      <c r="D95">
        <v>4</v>
      </c>
      <c r="E95" s="1">
        <v>46037</v>
      </c>
      <c r="F95">
        <v>754.26</v>
      </c>
      <c r="G95">
        <v>85042.82</v>
      </c>
      <c r="H95">
        <v>6</v>
      </c>
      <c r="I95">
        <v>6</v>
      </c>
    </row>
    <row r="96" spans="1:9" x14ac:dyDescent="0.3">
      <c r="A96">
        <v>2154</v>
      </c>
      <c r="B96">
        <v>7</v>
      </c>
      <c r="C96">
        <v>3</v>
      </c>
      <c r="D96">
        <v>4</v>
      </c>
      <c r="E96" s="1">
        <v>46025</v>
      </c>
      <c r="F96">
        <v>244.09</v>
      </c>
      <c r="G96">
        <v>27521.15</v>
      </c>
      <c r="H96">
        <v>5</v>
      </c>
      <c r="I96">
        <v>6</v>
      </c>
    </row>
    <row r="97" spans="1:9" x14ac:dyDescent="0.3">
      <c r="A97">
        <v>2155</v>
      </c>
      <c r="B97">
        <v>15</v>
      </c>
      <c r="C97">
        <v>3</v>
      </c>
      <c r="D97">
        <v>5</v>
      </c>
      <c r="E97" s="1">
        <v>46059</v>
      </c>
      <c r="F97">
        <v>792.79</v>
      </c>
      <c r="G97">
        <v>89387.07</v>
      </c>
      <c r="H97">
        <v>4</v>
      </c>
      <c r="I97">
        <v>6</v>
      </c>
    </row>
    <row r="98" spans="1:9" x14ac:dyDescent="0.3">
      <c r="A98">
        <v>2156</v>
      </c>
      <c r="B98">
        <v>6</v>
      </c>
      <c r="C98">
        <v>3</v>
      </c>
      <c r="D98">
        <v>5</v>
      </c>
      <c r="E98" s="1">
        <v>46096</v>
      </c>
      <c r="F98">
        <v>651.9</v>
      </c>
      <c r="G98">
        <v>73501.72</v>
      </c>
      <c r="H98">
        <v>5</v>
      </c>
      <c r="I98">
        <v>6</v>
      </c>
    </row>
    <row r="99" spans="1:9" x14ac:dyDescent="0.3">
      <c r="A99">
        <v>2157</v>
      </c>
      <c r="B99">
        <v>6</v>
      </c>
      <c r="C99">
        <v>3</v>
      </c>
      <c r="D99">
        <v>5</v>
      </c>
      <c r="E99" s="1">
        <v>46077</v>
      </c>
      <c r="F99">
        <v>715.93</v>
      </c>
      <c r="G99">
        <v>80721.11</v>
      </c>
      <c r="H99">
        <v>8</v>
      </c>
      <c r="I99">
        <v>6</v>
      </c>
    </row>
    <row r="100" spans="1:9" x14ac:dyDescent="0.3">
      <c r="A100">
        <v>2158</v>
      </c>
      <c r="B100">
        <v>23</v>
      </c>
      <c r="C100">
        <v>3</v>
      </c>
      <c r="D100">
        <v>5</v>
      </c>
      <c r="E100" s="1">
        <v>46082</v>
      </c>
      <c r="F100">
        <v>905.42</v>
      </c>
      <c r="G100">
        <v>102086.1</v>
      </c>
      <c r="H100">
        <v>6</v>
      </c>
      <c r="I100">
        <v>6</v>
      </c>
    </row>
    <row r="101" spans="1:9" x14ac:dyDescent="0.3">
      <c r="A101">
        <v>2159</v>
      </c>
      <c r="B101">
        <v>23</v>
      </c>
      <c r="C101">
        <v>3</v>
      </c>
      <c r="D101">
        <v>5</v>
      </c>
      <c r="E101" s="1">
        <v>46055</v>
      </c>
      <c r="F101">
        <v>638.75</v>
      </c>
      <c r="G101">
        <v>72019.06</v>
      </c>
      <c r="H101">
        <v>4</v>
      </c>
      <c r="I101">
        <v>6</v>
      </c>
    </row>
    <row r="102" spans="1:9" x14ac:dyDescent="0.3">
      <c r="A102">
        <v>2160</v>
      </c>
      <c r="B102">
        <v>13</v>
      </c>
      <c r="C102">
        <v>3</v>
      </c>
      <c r="D102">
        <v>5</v>
      </c>
      <c r="E102" s="1">
        <v>46091</v>
      </c>
      <c r="F102">
        <v>476.32</v>
      </c>
      <c r="G102">
        <v>53705.08</v>
      </c>
      <c r="H102">
        <v>4</v>
      </c>
      <c r="I102">
        <v>6</v>
      </c>
    </row>
    <row r="103" spans="1:9" x14ac:dyDescent="0.3">
      <c r="A103">
        <v>2161</v>
      </c>
      <c r="B103">
        <v>3</v>
      </c>
      <c r="C103">
        <v>3</v>
      </c>
      <c r="D103">
        <v>6</v>
      </c>
      <c r="E103" s="1">
        <v>46053</v>
      </c>
      <c r="F103">
        <v>976.04</v>
      </c>
      <c r="G103">
        <v>110048.51</v>
      </c>
      <c r="H103">
        <v>5</v>
      </c>
      <c r="I103">
        <v>6</v>
      </c>
    </row>
    <row r="104" spans="1:9" x14ac:dyDescent="0.3">
      <c r="A104">
        <v>2162</v>
      </c>
      <c r="B104">
        <v>11</v>
      </c>
      <c r="C104">
        <v>3</v>
      </c>
      <c r="D104">
        <v>6</v>
      </c>
      <c r="E104" s="1">
        <v>46057</v>
      </c>
      <c r="F104">
        <v>279.69</v>
      </c>
      <c r="G104">
        <v>31535.05</v>
      </c>
      <c r="H104">
        <v>4</v>
      </c>
      <c r="I104">
        <v>6</v>
      </c>
    </row>
    <row r="105" spans="1:9" x14ac:dyDescent="0.3">
      <c r="A105">
        <v>2163</v>
      </c>
      <c r="B105">
        <v>21</v>
      </c>
      <c r="C105">
        <v>3</v>
      </c>
      <c r="D105">
        <v>6</v>
      </c>
      <c r="E105" s="1">
        <v>46109</v>
      </c>
      <c r="F105">
        <v>365.28</v>
      </c>
      <c r="G105">
        <v>41185.32</v>
      </c>
      <c r="H105">
        <v>9</v>
      </c>
      <c r="I105">
        <v>6</v>
      </c>
    </row>
    <row r="106" spans="1:9" x14ac:dyDescent="0.3">
      <c r="A106">
        <v>2164</v>
      </c>
      <c r="B106">
        <v>21</v>
      </c>
      <c r="C106">
        <v>3</v>
      </c>
      <c r="D106">
        <v>7</v>
      </c>
      <c r="E106" s="1">
        <v>46062</v>
      </c>
      <c r="F106">
        <v>414.45</v>
      </c>
      <c r="G106">
        <v>46729.24</v>
      </c>
      <c r="H106">
        <v>6</v>
      </c>
      <c r="I106">
        <v>4</v>
      </c>
    </row>
    <row r="107" spans="1:9" x14ac:dyDescent="0.3">
      <c r="A107">
        <v>2165</v>
      </c>
      <c r="B107">
        <v>20</v>
      </c>
      <c r="C107">
        <v>3</v>
      </c>
      <c r="D107">
        <v>7</v>
      </c>
      <c r="E107" s="1">
        <v>46080</v>
      </c>
      <c r="F107">
        <v>325.29000000000002</v>
      </c>
      <c r="G107">
        <v>36676.449999999997</v>
      </c>
      <c r="H107">
        <v>2</v>
      </c>
      <c r="I107">
        <v>4</v>
      </c>
    </row>
    <row r="108" spans="1:9" x14ac:dyDescent="0.3">
      <c r="A108">
        <v>2166</v>
      </c>
      <c r="B108">
        <v>18</v>
      </c>
      <c r="C108">
        <v>3</v>
      </c>
      <c r="D108">
        <v>7</v>
      </c>
      <c r="E108" s="1">
        <v>46109</v>
      </c>
      <c r="F108">
        <v>789.48</v>
      </c>
      <c r="G108">
        <v>89013.87</v>
      </c>
      <c r="H108">
        <v>2</v>
      </c>
      <c r="I108">
        <v>4</v>
      </c>
    </row>
    <row r="109" spans="1:9" x14ac:dyDescent="0.3">
      <c r="A109">
        <v>2167</v>
      </c>
      <c r="B109">
        <v>12</v>
      </c>
      <c r="C109">
        <v>3</v>
      </c>
      <c r="D109">
        <v>7</v>
      </c>
      <c r="E109" s="1">
        <v>46082</v>
      </c>
      <c r="F109">
        <v>393.13</v>
      </c>
      <c r="G109">
        <v>44325.41</v>
      </c>
      <c r="H109">
        <v>3</v>
      </c>
      <c r="I109">
        <v>4</v>
      </c>
    </row>
    <row r="110" spans="1:9" x14ac:dyDescent="0.3">
      <c r="A110">
        <v>2168</v>
      </c>
      <c r="B110">
        <v>2</v>
      </c>
      <c r="C110">
        <v>3</v>
      </c>
      <c r="D110">
        <v>8</v>
      </c>
      <c r="E110" s="1">
        <v>46049</v>
      </c>
      <c r="F110">
        <v>261.39999999999998</v>
      </c>
      <c r="G110">
        <v>29472.85</v>
      </c>
      <c r="H110">
        <v>3</v>
      </c>
      <c r="I110">
        <v>4</v>
      </c>
    </row>
    <row r="111" spans="1:9" x14ac:dyDescent="0.3">
      <c r="A111">
        <v>2169</v>
      </c>
      <c r="B111">
        <v>1</v>
      </c>
      <c r="C111">
        <v>3</v>
      </c>
      <c r="D111">
        <v>8</v>
      </c>
      <c r="E111" s="1">
        <v>46061</v>
      </c>
      <c r="F111">
        <v>820.65</v>
      </c>
      <c r="G111">
        <v>92528.29</v>
      </c>
      <c r="H111">
        <v>2</v>
      </c>
      <c r="I111">
        <v>4</v>
      </c>
    </row>
    <row r="112" spans="1:9" x14ac:dyDescent="0.3">
      <c r="A112">
        <v>2170</v>
      </c>
      <c r="B112">
        <v>1</v>
      </c>
      <c r="C112">
        <v>3</v>
      </c>
      <c r="D112">
        <v>8</v>
      </c>
      <c r="E112" s="1">
        <v>46048</v>
      </c>
      <c r="F112">
        <v>239.83</v>
      </c>
      <c r="G112">
        <v>27040.83</v>
      </c>
      <c r="H112">
        <v>2</v>
      </c>
      <c r="I112">
        <v>4</v>
      </c>
    </row>
    <row r="113" spans="1:9" x14ac:dyDescent="0.3">
      <c r="A113">
        <v>2171</v>
      </c>
      <c r="B113">
        <v>3</v>
      </c>
      <c r="C113">
        <v>3</v>
      </c>
      <c r="D113">
        <v>8</v>
      </c>
      <c r="E113" s="1">
        <v>46030</v>
      </c>
      <c r="F113">
        <v>287.23</v>
      </c>
      <c r="G113">
        <v>32385.18</v>
      </c>
      <c r="H113">
        <v>4</v>
      </c>
      <c r="I113">
        <v>4</v>
      </c>
    </row>
    <row r="114" spans="1:9" x14ac:dyDescent="0.3">
      <c r="A114">
        <v>2172</v>
      </c>
      <c r="B114">
        <v>11</v>
      </c>
      <c r="C114">
        <v>3</v>
      </c>
      <c r="D114">
        <v>8</v>
      </c>
      <c r="E114" s="1">
        <v>46051</v>
      </c>
      <c r="F114">
        <v>315.83</v>
      </c>
      <c r="G114">
        <v>35609.83</v>
      </c>
      <c r="H114">
        <v>3</v>
      </c>
      <c r="I114">
        <v>4</v>
      </c>
    </row>
    <row r="115" spans="1:9" x14ac:dyDescent="0.3">
      <c r="A115">
        <v>2173</v>
      </c>
      <c r="B115">
        <v>9</v>
      </c>
      <c r="C115">
        <v>3</v>
      </c>
      <c r="D115">
        <v>9</v>
      </c>
      <c r="E115" s="1">
        <v>46103</v>
      </c>
      <c r="F115">
        <v>812.25</v>
      </c>
      <c r="G115">
        <v>91581.19</v>
      </c>
      <c r="H115">
        <v>6</v>
      </c>
      <c r="I115">
        <v>6</v>
      </c>
    </row>
    <row r="116" spans="1:9" x14ac:dyDescent="0.3">
      <c r="A116">
        <v>2174</v>
      </c>
      <c r="B116">
        <v>1</v>
      </c>
      <c r="C116">
        <v>3</v>
      </c>
      <c r="D116">
        <v>10</v>
      </c>
      <c r="E116" s="1">
        <v>46055</v>
      </c>
      <c r="F116">
        <v>836.03</v>
      </c>
      <c r="G116">
        <v>94262.38</v>
      </c>
      <c r="H116">
        <v>6</v>
      </c>
      <c r="I116">
        <v>6</v>
      </c>
    </row>
    <row r="117" spans="1:9" x14ac:dyDescent="0.3">
      <c r="A117">
        <v>2175</v>
      </c>
      <c r="B117">
        <v>1</v>
      </c>
      <c r="C117">
        <v>3</v>
      </c>
      <c r="D117">
        <v>10</v>
      </c>
      <c r="E117" s="1">
        <v>46026</v>
      </c>
      <c r="F117">
        <v>464.99</v>
      </c>
      <c r="G117">
        <v>52427.62</v>
      </c>
      <c r="H117">
        <v>5</v>
      </c>
      <c r="I117">
        <v>6</v>
      </c>
    </row>
    <row r="118" spans="1:9" x14ac:dyDescent="0.3">
      <c r="A118">
        <v>2176</v>
      </c>
      <c r="B118">
        <v>18</v>
      </c>
      <c r="C118">
        <v>3</v>
      </c>
      <c r="D118">
        <v>10</v>
      </c>
      <c r="E118" s="1">
        <v>46030</v>
      </c>
      <c r="F118">
        <v>646.54</v>
      </c>
      <c r="G118">
        <v>72897.38</v>
      </c>
      <c r="H118">
        <v>6</v>
      </c>
      <c r="I118">
        <v>6</v>
      </c>
    </row>
    <row r="119" spans="1:9" x14ac:dyDescent="0.3">
      <c r="A119">
        <v>2177</v>
      </c>
      <c r="B119">
        <v>17</v>
      </c>
      <c r="C119">
        <v>3</v>
      </c>
      <c r="D119">
        <v>10</v>
      </c>
      <c r="E119" s="1">
        <v>46025</v>
      </c>
      <c r="F119">
        <v>438.27</v>
      </c>
      <c r="G119">
        <v>49414.94</v>
      </c>
      <c r="H119">
        <v>5</v>
      </c>
      <c r="I119">
        <v>6</v>
      </c>
    </row>
    <row r="120" spans="1:9" x14ac:dyDescent="0.3">
      <c r="A120">
        <v>2178</v>
      </c>
      <c r="B120">
        <v>21</v>
      </c>
      <c r="C120">
        <v>4</v>
      </c>
      <c r="D120">
        <v>1</v>
      </c>
      <c r="E120" s="1">
        <v>46038</v>
      </c>
      <c r="F120">
        <v>834.31</v>
      </c>
      <c r="G120">
        <v>375439.5</v>
      </c>
      <c r="H120">
        <v>7</v>
      </c>
      <c r="I120">
        <v>6</v>
      </c>
    </row>
    <row r="121" spans="1:9" x14ac:dyDescent="0.3">
      <c r="A121">
        <v>2179</v>
      </c>
      <c r="B121">
        <v>21</v>
      </c>
      <c r="C121">
        <v>4</v>
      </c>
      <c r="D121">
        <v>1</v>
      </c>
      <c r="E121" s="1">
        <v>46069</v>
      </c>
      <c r="F121">
        <v>375.93</v>
      </c>
      <c r="G121">
        <v>169168.5</v>
      </c>
      <c r="H121">
        <v>4</v>
      </c>
      <c r="I121">
        <v>6</v>
      </c>
    </row>
    <row r="122" spans="1:9" x14ac:dyDescent="0.3">
      <c r="A122">
        <v>2180</v>
      </c>
      <c r="B122">
        <v>20</v>
      </c>
      <c r="C122">
        <v>4</v>
      </c>
      <c r="D122">
        <v>2</v>
      </c>
      <c r="E122" s="1">
        <v>46093</v>
      </c>
      <c r="F122">
        <v>575.85</v>
      </c>
      <c r="G122">
        <v>259132.5</v>
      </c>
      <c r="H122">
        <v>2</v>
      </c>
      <c r="I122">
        <v>4</v>
      </c>
    </row>
    <row r="123" spans="1:9" x14ac:dyDescent="0.3">
      <c r="A123">
        <v>2181</v>
      </c>
      <c r="B123">
        <v>9</v>
      </c>
      <c r="C123">
        <v>4</v>
      </c>
      <c r="D123">
        <v>2</v>
      </c>
      <c r="E123" s="1">
        <v>46041</v>
      </c>
      <c r="F123">
        <v>506.39</v>
      </c>
      <c r="G123">
        <v>227875.5</v>
      </c>
      <c r="H123">
        <v>4</v>
      </c>
      <c r="I123">
        <v>4</v>
      </c>
    </row>
    <row r="124" spans="1:9" x14ac:dyDescent="0.3">
      <c r="A124">
        <v>2182</v>
      </c>
      <c r="B124">
        <v>3</v>
      </c>
      <c r="C124">
        <v>4</v>
      </c>
      <c r="D124">
        <v>2</v>
      </c>
      <c r="E124" s="1">
        <v>46091</v>
      </c>
      <c r="F124">
        <v>475.79</v>
      </c>
      <c r="G124">
        <v>214105.5</v>
      </c>
      <c r="H124">
        <v>3</v>
      </c>
      <c r="I124">
        <v>4</v>
      </c>
    </row>
    <row r="125" spans="1:9" x14ac:dyDescent="0.3">
      <c r="A125">
        <v>2183</v>
      </c>
      <c r="B125">
        <v>11</v>
      </c>
      <c r="C125">
        <v>4</v>
      </c>
      <c r="D125">
        <v>2</v>
      </c>
      <c r="E125" s="1">
        <v>46096</v>
      </c>
      <c r="F125">
        <v>715.42</v>
      </c>
      <c r="G125">
        <v>321939</v>
      </c>
      <c r="H125">
        <v>3</v>
      </c>
      <c r="I125">
        <v>4</v>
      </c>
    </row>
    <row r="126" spans="1:9" x14ac:dyDescent="0.3">
      <c r="A126">
        <v>2184</v>
      </c>
      <c r="B126">
        <v>19</v>
      </c>
      <c r="C126">
        <v>4</v>
      </c>
      <c r="D126">
        <v>3</v>
      </c>
      <c r="E126" s="1">
        <v>46042</v>
      </c>
      <c r="F126">
        <v>502.81</v>
      </c>
      <c r="G126">
        <v>226264.5</v>
      </c>
      <c r="H126">
        <v>2</v>
      </c>
      <c r="I126">
        <v>4</v>
      </c>
    </row>
    <row r="127" spans="1:9" x14ac:dyDescent="0.3">
      <c r="A127">
        <v>2185</v>
      </c>
      <c r="B127">
        <v>24</v>
      </c>
      <c r="C127">
        <v>4</v>
      </c>
      <c r="D127">
        <v>3</v>
      </c>
      <c r="E127" s="1">
        <v>46091</v>
      </c>
      <c r="F127">
        <v>922.94</v>
      </c>
      <c r="G127">
        <v>415323</v>
      </c>
      <c r="H127">
        <v>3</v>
      </c>
      <c r="I127">
        <v>4</v>
      </c>
    </row>
    <row r="128" spans="1:9" x14ac:dyDescent="0.3">
      <c r="A128">
        <v>2186</v>
      </c>
      <c r="B128">
        <v>8</v>
      </c>
      <c r="C128">
        <v>4</v>
      </c>
      <c r="D128">
        <v>3</v>
      </c>
      <c r="E128" s="1">
        <v>46069</v>
      </c>
      <c r="F128">
        <v>847.11</v>
      </c>
      <c r="G128">
        <v>381199.5</v>
      </c>
      <c r="H128">
        <v>2</v>
      </c>
      <c r="I128">
        <v>4</v>
      </c>
    </row>
    <row r="129" spans="1:9" x14ac:dyDescent="0.3">
      <c r="A129">
        <v>2187</v>
      </c>
      <c r="B129">
        <v>1</v>
      </c>
      <c r="C129">
        <v>4</v>
      </c>
      <c r="D129">
        <v>3</v>
      </c>
      <c r="E129" s="1">
        <v>46063</v>
      </c>
      <c r="F129">
        <v>558.13</v>
      </c>
      <c r="G129">
        <v>251158.5</v>
      </c>
      <c r="H129">
        <v>2</v>
      </c>
      <c r="I129">
        <v>4</v>
      </c>
    </row>
    <row r="130" spans="1:9" x14ac:dyDescent="0.3">
      <c r="A130">
        <v>2188</v>
      </c>
      <c r="B130">
        <v>11</v>
      </c>
      <c r="C130">
        <v>4</v>
      </c>
      <c r="D130">
        <v>3</v>
      </c>
      <c r="E130" s="1">
        <v>46038</v>
      </c>
      <c r="F130">
        <v>303.14999999999998</v>
      </c>
      <c r="G130">
        <v>136417.5</v>
      </c>
      <c r="H130">
        <v>5</v>
      </c>
      <c r="I130">
        <v>4</v>
      </c>
    </row>
    <row r="131" spans="1:9" x14ac:dyDescent="0.3">
      <c r="A131">
        <v>2189</v>
      </c>
      <c r="B131">
        <v>2</v>
      </c>
      <c r="C131">
        <v>4</v>
      </c>
      <c r="D131">
        <v>3</v>
      </c>
      <c r="E131" s="1">
        <v>46071</v>
      </c>
      <c r="F131">
        <v>864.11</v>
      </c>
      <c r="G131">
        <v>388849.5</v>
      </c>
      <c r="H131">
        <v>2</v>
      </c>
      <c r="I131">
        <v>4</v>
      </c>
    </row>
    <row r="132" spans="1:9" x14ac:dyDescent="0.3">
      <c r="A132">
        <v>2190</v>
      </c>
      <c r="B132">
        <v>10</v>
      </c>
      <c r="C132">
        <v>4</v>
      </c>
      <c r="D132">
        <v>3</v>
      </c>
      <c r="E132" s="1">
        <v>46070</v>
      </c>
      <c r="F132">
        <v>843.86</v>
      </c>
      <c r="G132">
        <v>379737</v>
      </c>
      <c r="H132">
        <v>2</v>
      </c>
      <c r="I132">
        <v>4</v>
      </c>
    </row>
    <row r="133" spans="1:9" x14ac:dyDescent="0.3">
      <c r="A133">
        <v>2191</v>
      </c>
      <c r="B133">
        <v>17</v>
      </c>
      <c r="C133">
        <v>4</v>
      </c>
      <c r="D133">
        <v>4</v>
      </c>
      <c r="E133" s="1">
        <v>46105</v>
      </c>
      <c r="F133">
        <v>590.26</v>
      </c>
      <c r="G133">
        <v>265617</v>
      </c>
      <c r="H133">
        <v>5</v>
      </c>
      <c r="I133">
        <v>6</v>
      </c>
    </row>
    <row r="134" spans="1:9" x14ac:dyDescent="0.3">
      <c r="A134">
        <v>2192</v>
      </c>
      <c r="B134">
        <v>2</v>
      </c>
      <c r="C134">
        <v>4</v>
      </c>
      <c r="D134">
        <v>4</v>
      </c>
      <c r="E134" s="1">
        <v>46090</v>
      </c>
      <c r="F134">
        <v>777.54</v>
      </c>
      <c r="G134">
        <v>349893</v>
      </c>
      <c r="H134">
        <v>4</v>
      </c>
      <c r="I134">
        <v>6</v>
      </c>
    </row>
    <row r="135" spans="1:9" x14ac:dyDescent="0.3">
      <c r="A135">
        <v>2193</v>
      </c>
      <c r="B135">
        <v>7</v>
      </c>
      <c r="C135">
        <v>4</v>
      </c>
      <c r="D135">
        <v>4</v>
      </c>
      <c r="E135" s="1">
        <v>46041</v>
      </c>
      <c r="F135">
        <v>874.6</v>
      </c>
      <c r="G135">
        <v>393570</v>
      </c>
      <c r="H135">
        <v>6</v>
      </c>
      <c r="I135">
        <v>6</v>
      </c>
    </row>
    <row r="136" spans="1:9" x14ac:dyDescent="0.3">
      <c r="A136">
        <v>2194</v>
      </c>
      <c r="B136">
        <v>25</v>
      </c>
      <c r="C136">
        <v>4</v>
      </c>
      <c r="D136">
        <v>5</v>
      </c>
      <c r="E136" s="1">
        <v>46054</v>
      </c>
      <c r="F136">
        <v>513.65</v>
      </c>
      <c r="G136">
        <v>231142.5</v>
      </c>
      <c r="H136">
        <v>7</v>
      </c>
      <c r="I136">
        <v>6</v>
      </c>
    </row>
    <row r="137" spans="1:9" x14ac:dyDescent="0.3">
      <c r="A137">
        <v>2195</v>
      </c>
      <c r="B137">
        <v>8</v>
      </c>
      <c r="C137">
        <v>4</v>
      </c>
      <c r="D137">
        <v>5</v>
      </c>
      <c r="E137" s="1">
        <v>46056</v>
      </c>
      <c r="F137">
        <v>637.69000000000005</v>
      </c>
      <c r="G137">
        <v>286960.5</v>
      </c>
      <c r="H137">
        <v>6</v>
      </c>
      <c r="I137">
        <v>6</v>
      </c>
    </row>
    <row r="138" spans="1:9" x14ac:dyDescent="0.3">
      <c r="A138">
        <v>2196</v>
      </c>
      <c r="B138">
        <v>17</v>
      </c>
      <c r="C138">
        <v>4</v>
      </c>
      <c r="D138">
        <v>5</v>
      </c>
      <c r="E138" s="1">
        <v>46039</v>
      </c>
      <c r="F138">
        <v>722.45</v>
      </c>
      <c r="G138">
        <v>325102.5</v>
      </c>
      <c r="H138">
        <v>4</v>
      </c>
      <c r="I138">
        <v>6</v>
      </c>
    </row>
    <row r="139" spans="1:9" x14ac:dyDescent="0.3">
      <c r="A139">
        <v>2197</v>
      </c>
      <c r="B139">
        <v>15</v>
      </c>
      <c r="C139">
        <v>4</v>
      </c>
      <c r="D139">
        <v>6</v>
      </c>
      <c r="E139" s="1">
        <v>46103</v>
      </c>
      <c r="F139">
        <v>911.98</v>
      </c>
      <c r="G139">
        <v>410391</v>
      </c>
      <c r="H139">
        <v>4</v>
      </c>
      <c r="I139">
        <v>6</v>
      </c>
    </row>
    <row r="140" spans="1:9" x14ac:dyDescent="0.3">
      <c r="A140">
        <v>2198</v>
      </c>
      <c r="B140">
        <v>16</v>
      </c>
      <c r="C140">
        <v>4</v>
      </c>
      <c r="D140">
        <v>6</v>
      </c>
      <c r="E140" s="1">
        <v>46030</v>
      </c>
      <c r="F140">
        <v>664.67</v>
      </c>
      <c r="G140">
        <v>299101.5</v>
      </c>
      <c r="H140">
        <v>6</v>
      </c>
      <c r="I140">
        <v>6</v>
      </c>
    </row>
    <row r="141" spans="1:9" x14ac:dyDescent="0.3">
      <c r="A141">
        <v>2199</v>
      </c>
      <c r="B141">
        <v>21</v>
      </c>
      <c r="C141">
        <v>4</v>
      </c>
      <c r="D141">
        <v>7</v>
      </c>
      <c r="E141" s="1">
        <v>46075</v>
      </c>
      <c r="F141">
        <v>960.94</v>
      </c>
      <c r="G141">
        <v>432423</v>
      </c>
      <c r="H141">
        <v>3</v>
      </c>
      <c r="I141">
        <v>4</v>
      </c>
    </row>
    <row r="142" spans="1:9" x14ac:dyDescent="0.3">
      <c r="A142">
        <v>2200</v>
      </c>
      <c r="B142">
        <v>6</v>
      </c>
      <c r="C142">
        <v>4</v>
      </c>
      <c r="D142">
        <v>7</v>
      </c>
      <c r="E142" s="1">
        <v>46069</v>
      </c>
      <c r="F142">
        <v>632.95000000000005</v>
      </c>
      <c r="G142">
        <v>284827.5</v>
      </c>
      <c r="H142">
        <v>6</v>
      </c>
      <c r="I142">
        <v>4</v>
      </c>
    </row>
    <row r="143" spans="1:9" x14ac:dyDescent="0.3">
      <c r="A143">
        <v>2201</v>
      </c>
      <c r="B143">
        <v>14</v>
      </c>
      <c r="C143">
        <v>4</v>
      </c>
      <c r="D143">
        <v>7</v>
      </c>
      <c r="E143" s="1">
        <v>46077</v>
      </c>
      <c r="F143">
        <v>114.2</v>
      </c>
      <c r="G143">
        <v>51390</v>
      </c>
      <c r="H143">
        <v>3</v>
      </c>
      <c r="I143">
        <v>4</v>
      </c>
    </row>
    <row r="144" spans="1:9" x14ac:dyDescent="0.3">
      <c r="A144">
        <v>2202</v>
      </c>
      <c r="B144">
        <v>23</v>
      </c>
      <c r="C144">
        <v>4</v>
      </c>
      <c r="D144">
        <v>7</v>
      </c>
      <c r="E144" s="1">
        <v>46047</v>
      </c>
      <c r="F144">
        <v>568.25</v>
      </c>
      <c r="G144">
        <v>255712.5</v>
      </c>
      <c r="H144">
        <v>2</v>
      </c>
      <c r="I144">
        <v>4</v>
      </c>
    </row>
    <row r="145" spans="1:9" x14ac:dyDescent="0.3">
      <c r="A145">
        <v>2203</v>
      </c>
      <c r="B145">
        <v>12</v>
      </c>
      <c r="C145">
        <v>4</v>
      </c>
      <c r="D145">
        <v>8</v>
      </c>
      <c r="E145" s="1">
        <v>46025</v>
      </c>
      <c r="F145">
        <v>909.78</v>
      </c>
      <c r="G145">
        <v>409401</v>
      </c>
      <c r="H145">
        <v>4</v>
      </c>
      <c r="I145">
        <v>4</v>
      </c>
    </row>
    <row r="146" spans="1:9" x14ac:dyDescent="0.3">
      <c r="A146">
        <v>2204</v>
      </c>
      <c r="B146">
        <v>22</v>
      </c>
      <c r="C146">
        <v>4</v>
      </c>
      <c r="D146">
        <v>8</v>
      </c>
      <c r="E146" s="1">
        <v>46101</v>
      </c>
      <c r="F146">
        <v>218.91</v>
      </c>
      <c r="G146">
        <v>98509.5</v>
      </c>
      <c r="H146">
        <v>7</v>
      </c>
      <c r="I146">
        <v>4</v>
      </c>
    </row>
    <row r="147" spans="1:9" x14ac:dyDescent="0.3">
      <c r="A147">
        <v>2205</v>
      </c>
      <c r="B147">
        <v>21</v>
      </c>
      <c r="C147">
        <v>4</v>
      </c>
      <c r="D147">
        <v>8</v>
      </c>
      <c r="E147" s="1">
        <v>46108</v>
      </c>
      <c r="F147">
        <v>574.42999999999995</v>
      </c>
      <c r="G147">
        <v>258493.5</v>
      </c>
      <c r="H147">
        <v>3</v>
      </c>
      <c r="I147">
        <v>4</v>
      </c>
    </row>
    <row r="148" spans="1:9" x14ac:dyDescent="0.3">
      <c r="A148">
        <v>2206</v>
      </c>
      <c r="B148">
        <v>5</v>
      </c>
      <c r="C148">
        <v>4</v>
      </c>
      <c r="D148">
        <v>8</v>
      </c>
      <c r="E148" s="1">
        <v>46099</v>
      </c>
      <c r="F148">
        <v>207.62</v>
      </c>
      <c r="G148">
        <v>93429</v>
      </c>
      <c r="H148">
        <v>3</v>
      </c>
      <c r="I148">
        <v>4</v>
      </c>
    </row>
    <row r="149" spans="1:9" x14ac:dyDescent="0.3">
      <c r="A149">
        <v>2207</v>
      </c>
      <c r="B149">
        <v>15</v>
      </c>
      <c r="C149">
        <v>4</v>
      </c>
      <c r="D149">
        <v>8</v>
      </c>
      <c r="E149" s="1">
        <v>46089</v>
      </c>
      <c r="F149">
        <v>565.95000000000005</v>
      </c>
      <c r="G149">
        <v>254677.5</v>
      </c>
      <c r="H149">
        <v>5</v>
      </c>
      <c r="I149">
        <v>4</v>
      </c>
    </row>
    <row r="150" spans="1:9" x14ac:dyDescent="0.3">
      <c r="A150">
        <v>2208</v>
      </c>
      <c r="B150">
        <v>14</v>
      </c>
      <c r="C150">
        <v>4</v>
      </c>
      <c r="D150">
        <v>8</v>
      </c>
      <c r="E150" s="1">
        <v>46104</v>
      </c>
      <c r="F150">
        <v>365.23</v>
      </c>
      <c r="G150">
        <v>164353.5</v>
      </c>
      <c r="H150">
        <v>5</v>
      </c>
      <c r="I150">
        <v>4</v>
      </c>
    </row>
    <row r="151" spans="1:9" x14ac:dyDescent="0.3">
      <c r="A151">
        <v>2209</v>
      </c>
      <c r="B151">
        <v>23</v>
      </c>
      <c r="C151">
        <v>4</v>
      </c>
      <c r="D151">
        <v>9</v>
      </c>
      <c r="E151" s="1">
        <v>46039</v>
      </c>
      <c r="F151">
        <v>524.35</v>
      </c>
      <c r="G151">
        <v>235957.5</v>
      </c>
      <c r="H151">
        <v>4</v>
      </c>
      <c r="I151">
        <v>6</v>
      </c>
    </row>
    <row r="152" spans="1:9" x14ac:dyDescent="0.3">
      <c r="A152">
        <v>2210</v>
      </c>
      <c r="B152">
        <v>20</v>
      </c>
      <c r="C152">
        <v>4</v>
      </c>
      <c r="D152">
        <v>10</v>
      </c>
      <c r="E152" s="1">
        <v>46031</v>
      </c>
      <c r="F152">
        <v>583.88</v>
      </c>
      <c r="G152">
        <v>262746</v>
      </c>
      <c r="H152">
        <v>4</v>
      </c>
      <c r="I152">
        <v>6</v>
      </c>
    </row>
    <row r="153" spans="1:9" x14ac:dyDescent="0.3">
      <c r="A153">
        <v>2211</v>
      </c>
      <c r="B153">
        <v>2</v>
      </c>
      <c r="C153">
        <v>4</v>
      </c>
      <c r="D153">
        <v>10</v>
      </c>
      <c r="E153" s="1">
        <v>46107</v>
      </c>
      <c r="F153">
        <v>931.26</v>
      </c>
      <c r="G153">
        <v>419067</v>
      </c>
      <c r="H153">
        <v>4</v>
      </c>
      <c r="I153">
        <v>6</v>
      </c>
    </row>
    <row r="154" spans="1:9" x14ac:dyDescent="0.3">
      <c r="A154">
        <v>2212</v>
      </c>
      <c r="B154">
        <v>12</v>
      </c>
      <c r="C154">
        <v>4</v>
      </c>
      <c r="D154">
        <v>10</v>
      </c>
      <c r="E154" s="1">
        <v>46025</v>
      </c>
      <c r="F154">
        <v>307.76</v>
      </c>
      <c r="G154">
        <v>138492</v>
      </c>
      <c r="H154">
        <v>6</v>
      </c>
      <c r="I154">
        <v>6</v>
      </c>
    </row>
    <row r="155" spans="1:9" x14ac:dyDescent="0.3">
      <c r="A155">
        <v>2213</v>
      </c>
      <c r="B155">
        <v>21</v>
      </c>
      <c r="C155">
        <v>4</v>
      </c>
      <c r="D155">
        <v>10</v>
      </c>
      <c r="E155" s="1">
        <v>46031</v>
      </c>
      <c r="F155">
        <v>529.87</v>
      </c>
      <c r="G155">
        <v>238441.5</v>
      </c>
      <c r="H155">
        <v>6</v>
      </c>
      <c r="I155">
        <v>6</v>
      </c>
    </row>
    <row r="156" spans="1:9" x14ac:dyDescent="0.3">
      <c r="A156">
        <v>2214</v>
      </c>
      <c r="B156">
        <v>15</v>
      </c>
      <c r="C156">
        <v>5</v>
      </c>
      <c r="D156">
        <v>1</v>
      </c>
      <c r="E156" s="1">
        <v>46023</v>
      </c>
      <c r="F156">
        <v>100.76</v>
      </c>
      <c r="G156">
        <v>32243.200000000001</v>
      </c>
      <c r="H156">
        <v>4</v>
      </c>
      <c r="I156">
        <v>6</v>
      </c>
    </row>
    <row r="157" spans="1:9" x14ac:dyDescent="0.3">
      <c r="A157">
        <v>2215</v>
      </c>
      <c r="B157">
        <v>21</v>
      </c>
      <c r="C157">
        <v>5</v>
      </c>
      <c r="D157">
        <v>1</v>
      </c>
      <c r="E157" s="1">
        <v>46067</v>
      </c>
      <c r="F157">
        <v>275.2</v>
      </c>
      <c r="G157">
        <v>88064</v>
      </c>
      <c r="H157">
        <v>8</v>
      </c>
      <c r="I157">
        <v>6</v>
      </c>
    </row>
    <row r="158" spans="1:9" x14ac:dyDescent="0.3">
      <c r="A158">
        <v>2216</v>
      </c>
      <c r="B158">
        <v>25</v>
      </c>
      <c r="C158">
        <v>5</v>
      </c>
      <c r="D158">
        <v>1</v>
      </c>
      <c r="E158" s="1">
        <v>46107</v>
      </c>
      <c r="F158">
        <v>667.52</v>
      </c>
      <c r="G158">
        <v>213606.39999999999</v>
      </c>
      <c r="H158">
        <v>5</v>
      </c>
      <c r="I158">
        <v>6</v>
      </c>
    </row>
    <row r="159" spans="1:9" x14ac:dyDescent="0.3">
      <c r="A159">
        <v>2217</v>
      </c>
      <c r="B159">
        <v>24</v>
      </c>
      <c r="C159">
        <v>5</v>
      </c>
      <c r="D159">
        <v>1</v>
      </c>
      <c r="E159" s="1">
        <v>46036</v>
      </c>
      <c r="F159">
        <v>632.94000000000005</v>
      </c>
      <c r="G159">
        <v>202540.79999999999</v>
      </c>
      <c r="H159">
        <v>4</v>
      </c>
      <c r="I159">
        <v>6</v>
      </c>
    </row>
    <row r="160" spans="1:9" x14ac:dyDescent="0.3">
      <c r="A160">
        <v>2218</v>
      </c>
      <c r="B160">
        <v>23</v>
      </c>
      <c r="C160">
        <v>5</v>
      </c>
      <c r="D160">
        <v>1</v>
      </c>
      <c r="E160" s="1">
        <v>46039</v>
      </c>
      <c r="F160">
        <v>793.41</v>
      </c>
      <c r="G160">
        <v>253891.20000000001</v>
      </c>
      <c r="H160">
        <v>4</v>
      </c>
      <c r="I160">
        <v>6</v>
      </c>
    </row>
    <row r="161" spans="1:9" x14ac:dyDescent="0.3">
      <c r="A161">
        <v>2219</v>
      </c>
      <c r="B161">
        <v>14</v>
      </c>
      <c r="C161">
        <v>5</v>
      </c>
      <c r="D161">
        <v>1</v>
      </c>
      <c r="E161" s="1">
        <v>46032</v>
      </c>
      <c r="F161">
        <v>504.6</v>
      </c>
      <c r="G161">
        <v>161472</v>
      </c>
      <c r="H161">
        <v>5</v>
      </c>
      <c r="I161">
        <v>6</v>
      </c>
    </row>
    <row r="162" spans="1:9" x14ac:dyDescent="0.3">
      <c r="A162">
        <v>2220</v>
      </c>
      <c r="B162">
        <v>21</v>
      </c>
      <c r="C162">
        <v>5</v>
      </c>
      <c r="D162">
        <v>1</v>
      </c>
      <c r="E162" s="1">
        <v>46058</v>
      </c>
      <c r="F162">
        <v>796.82</v>
      </c>
      <c r="G162">
        <v>254982.39999999999</v>
      </c>
      <c r="H162">
        <v>6</v>
      </c>
      <c r="I162">
        <v>6</v>
      </c>
    </row>
    <row r="163" spans="1:9" x14ac:dyDescent="0.3">
      <c r="A163">
        <v>2221</v>
      </c>
      <c r="B163">
        <v>13</v>
      </c>
      <c r="C163">
        <v>5</v>
      </c>
      <c r="D163">
        <v>1</v>
      </c>
      <c r="E163" s="1">
        <v>46040</v>
      </c>
      <c r="F163">
        <v>910.3</v>
      </c>
      <c r="G163">
        <v>291296</v>
      </c>
      <c r="H163">
        <v>6</v>
      </c>
      <c r="I163">
        <v>6</v>
      </c>
    </row>
    <row r="164" spans="1:9" x14ac:dyDescent="0.3">
      <c r="A164">
        <v>2222</v>
      </c>
      <c r="B164">
        <v>13</v>
      </c>
      <c r="C164">
        <v>5</v>
      </c>
      <c r="D164">
        <v>2</v>
      </c>
      <c r="E164" s="1">
        <v>46085</v>
      </c>
      <c r="F164">
        <v>164.81</v>
      </c>
      <c r="G164">
        <v>52739.199999999997</v>
      </c>
      <c r="H164">
        <v>7</v>
      </c>
      <c r="I164">
        <v>4</v>
      </c>
    </row>
    <row r="165" spans="1:9" x14ac:dyDescent="0.3">
      <c r="A165">
        <v>2223</v>
      </c>
      <c r="B165">
        <v>22</v>
      </c>
      <c r="C165">
        <v>5</v>
      </c>
      <c r="D165">
        <v>2</v>
      </c>
      <c r="E165" s="1">
        <v>46097</v>
      </c>
      <c r="F165">
        <v>644.73</v>
      </c>
      <c r="G165">
        <v>206313.60000000001</v>
      </c>
      <c r="H165">
        <v>5</v>
      </c>
      <c r="I165">
        <v>4</v>
      </c>
    </row>
    <row r="166" spans="1:9" x14ac:dyDescent="0.3">
      <c r="A166">
        <v>2224</v>
      </c>
      <c r="B166">
        <v>15</v>
      </c>
      <c r="C166">
        <v>5</v>
      </c>
      <c r="D166">
        <v>2</v>
      </c>
      <c r="E166" s="1">
        <v>46087</v>
      </c>
      <c r="F166">
        <v>172.9</v>
      </c>
      <c r="G166">
        <v>55328</v>
      </c>
      <c r="H166">
        <v>2</v>
      </c>
      <c r="I166">
        <v>4</v>
      </c>
    </row>
    <row r="167" spans="1:9" x14ac:dyDescent="0.3">
      <c r="A167">
        <v>2225</v>
      </c>
      <c r="B167">
        <v>13</v>
      </c>
      <c r="C167">
        <v>5</v>
      </c>
      <c r="D167">
        <v>2</v>
      </c>
      <c r="E167" s="1">
        <v>46100</v>
      </c>
      <c r="F167">
        <v>821.94</v>
      </c>
      <c r="G167">
        <v>263020.79999999999</v>
      </c>
      <c r="H167">
        <v>2</v>
      </c>
      <c r="I167">
        <v>4</v>
      </c>
    </row>
    <row r="168" spans="1:9" x14ac:dyDescent="0.3">
      <c r="A168">
        <v>2226</v>
      </c>
      <c r="B168">
        <v>22</v>
      </c>
      <c r="C168">
        <v>5</v>
      </c>
      <c r="D168">
        <v>3</v>
      </c>
      <c r="E168" s="1">
        <v>46031</v>
      </c>
      <c r="F168">
        <v>770.17</v>
      </c>
      <c r="G168">
        <v>246454.39999999999</v>
      </c>
      <c r="H168">
        <v>2</v>
      </c>
      <c r="I168">
        <v>4</v>
      </c>
    </row>
    <row r="169" spans="1:9" x14ac:dyDescent="0.3">
      <c r="A169">
        <v>2227</v>
      </c>
      <c r="B169">
        <v>21</v>
      </c>
      <c r="C169">
        <v>5</v>
      </c>
      <c r="D169">
        <v>3</v>
      </c>
      <c r="E169" s="1">
        <v>46025</v>
      </c>
      <c r="F169">
        <v>558.87</v>
      </c>
      <c r="G169">
        <v>178838.39999999999</v>
      </c>
      <c r="H169">
        <v>2</v>
      </c>
      <c r="I169">
        <v>4</v>
      </c>
    </row>
    <row r="170" spans="1:9" x14ac:dyDescent="0.3">
      <c r="A170">
        <v>2228</v>
      </c>
      <c r="B170">
        <v>22</v>
      </c>
      <c r="C170">
        <v>5</v>
      </c>
      <c r="D170">
        <v>3</v>
      </c>
      <c r="E170" s="1">
        <v>46050</v>
      </c>
      <c r="F170">
        <v>699.87</v>
      </c>
      <c r="G170">
        <v>223958.39999999999</v>
      </c>
      <c r="H170">
        <v>4</v>
      </c>
      <c r="I170">
        <v>4</v>
      </c>
    </row>
    <row r="171" spans="1:9" x14ac:dyDescent="0.3">
      <c r="A171">
        <v>2229</v>
      </c>
      <c r="B171">
        <v>20</v>
      </c>
      <c r="C171">
        <v>5</v>
      </c>
      <c r="D171">
        <v>3</v>
      </c>
      <c r="E171" s="1">
        <v>46055</v>
      </c>
      <c r="F171">
        <v>983.23</v>
      </c>
      <c r="G171">
        <v>314633.59999999998</v>
      </c>
      <c r="H171">
        <v>7</v>
      </c>
      <c r="I171">
        <v>4</v>
      </c>
    </row>
    <row r="172" spans="1:9" x14ac:dyDescent="0.3">
      <c r="A172">
        <v>2230</v>
      </c>
      <c r="B172">
        <v>20</v>
      </c>
      <c r="C172">
        <v>5</v>
      </c>
      <c r="D172">
        <v>3</v>
      </c>
      <c r="E172" s="1">
        <v>46047</v>
      </c>
      <c r="F172">
        <v>674.64</v>
      </c>
      <c r="G172">
        <v>215884.79999999999</v>
      </c>
      <c r="H172">
        <v>4</v>
      </c>
      <c r="I172">
        <v>4</v>
      </c>
    </row>
    <row r="173" spans="1:9" x14ac:dyDescent="0.3">
      <c r="A173">
        <v>2231</v>
      </c>
      <c r="B173">
        <v>12</v>
      </c>
      <c r="C173">
        <v>5</v>
      </c>
      <c r="D173">
        <v>4</v>
      </c>
      <c r="E173" s="1">
        <v>46080</v>
      </c>
      <c r="F173">
        <v>276.27</v>
      </c>
      <c r="G173">
        <v>88406.399999999994</v>
      </c>
      <c r="H173">
        <v>5</v>
      </c>
      <c r="I173">
        <v>6</v>
      </c>
    </row>
    <row r="174" spans="1:9" x14ac:dyDescent="0.3">
      <c r="A174">
        <v>2232</v>
      </c>
      <c r="B174">
        <v>4</v>
      </c>
      <c r="C174">
        <v>5</v>
      </c>
      <c r="D174">
        <v>4</v>
      </c>
      <c r="E174" s="1">
        <v>46099</v>
      </c>
      <c r="F174">
        <v>197.65</v>
      </c>
      <c r="G174">
        <v>63248</v>
      </c>
      <c r="H174">
        <v>5</v>
      </c>
      <c r="I174">
        <v>6</v>
      </c>
    </row>
    <row r="175" spans="1:9" x14ac:dyDescent="0.3">
      <c r="A175">
        <v>2233</v>
      </c>
      <c r="B175">
        <v>20</v>
      </c>
      <c r="C175">
        <v>5</v>
      </c>
      <c r="D175">
        <v>4</v>
      </c>
      <c r="E175" s="1">
        <v>46103</v>
      </c>
      <c r="F175">
        <v>365.78</v>
      </c>
      <c r="G175">
        <v>117049.60000000001</v>
      </c>
      <c r="H175">
        <v>5</v>
      </c>
      <c r="I175">
        <v>6</v>
      </c>
    </row>
    <row r="176" spans="1:9" x14ac:dyDescent="0.3">
      <c r="A176">
        <v>2234</v>
      </c>
      <c r="B176">
        <v>19</v>
      </c>
      <c r="C176">
        <v>5</v>
      </c>
      <c r="D176">
        <v>4</v>
      </c>
      <c r="E176" s="1">
        <v>46105</v>
      </c>
      <c r="F176">
        <v>512.71</v>
      </c>
      <c r="G176">
        <v>164067.20000000001</v>
      </c>
      <c r="H176">
        <v>7</v>
      </c>
      <c r="I176">
        <v>6</v>
      </c>
    </row>
    <row r="177" spans="1:9" x14ac:dyDescent="0.3">
      <c r="A177">
        <v>2235</v>
      </c>
      <c r="B177">
        <v>3</v>
      </c>
      <c r="C177">
        <v>5</v>
      </c>
      <c r="D177">
        <v>5</v>
      </c>
      <c r="E177" s="1">
        <v>46039</v>
      </c>
      <c r="F177">
        <v>636.35</v>
      </c>
      <c r="G177">
        <v>203632</v>
      </c>
      <c r="H177">
        <v>5</v>
      </c>
      <c r="I177">
        <v>6</v>
      </c>
    </row>
    <row r="178" spans="1:9" x14ac:dyDescent="0.3">
      <c r="A178">
        <v>2236</v>
      </c>
      <c r="B178">
        <v>1</v>
      </c>
      <c r="C178">
        <v>5</v>
      </c>
      <c r="D178">
        <v>5</v>
      </c>
      <c r="E178" s="1">
        <v>46050</v>
      </c>
      <c r="F178">
        <v>267.81</v>
      </c>
      <c r="G178">
        <v>85699.199999999997</v>
      </c>
      <c r="H178">
        <v>8</v>
      </c>
      <c r="I178">
        <v>6</v>
      </c>
    </row>
    <row r="179" spans="1:9" x14ac:dyDescent="0.3">
      <c r="A179">
        <v>2237</v>
      </c>
      <c r="B179">
        <v>11</v>
      </c>
      <c r="C179">
        <v>5</v>
      </c>
      <c r="D179">
        <v>5</v>
      </c>
      <c r="E179" s="1">
        <v>46033</v>
      </c>
      <c r="F179">
        <v>387.16</v>
      </c>
      <c r="G179">
        <v>123891.2</v>
      </c>
      <c r="H179">
        <v>5</v>
      </c>
      <c r="I179">
        <v>6</v>
      </c>
    </row>
    <row r="180" spans="1:9" x14ac:dyDescent="0.3">
      <c r="A180">
        <v>2238</v>
      </c>
      <c r="B180">
        <v>2</v>
      </c>
      <c r="C180">
        <v>5</v>
      </c>
      <c r="D180">
        <v>5</v>
      </c>
      <c r="E180" s="1">
        <v>46062</v>
      </c>
      <c r="F180">
        <v>727.75</v>
      </c>
      <c r="G180">
        <v>232880</v>
      </c>
      <c r="H180">
        <v>6</v>
      </c>
      <c r="I180">
        <v>6</v>
      </c>
    </row>
    <row r="181" spans="1:9" x14ac:dyDescent="0.3">
      <c r="A181">
        <v>2239</v>
      </c>
      <c r="B181">
        <v>9</v>
      </c>
      <c r="C181">
        <v>5</v>
      </c>
      <c r="D181">
        <v>6</v>
      </c>
      <c r="E181" s="1">
        <v>46093</v>
      </c>
      <c r="F181">
        <v>320.18</v>
      </c>
      <c r="G181">
        <v>102457.60000000001</v>
      </c>
      <c r="H181">
        <v>5</v>
      </c>
      <c r="I181">
        <v>6</v>
      </c>
    </row>
    <row r="182" spans="1:9" x14ac:dyDescent="0.3">
      <c r="A182">
        <v>2240</v>
      </c>
      <c r="B182">
        <v>10</v>
      </c>
      <c r="C182">
        <v>5</v>
      </c>
      <c r="D182">
        <v>6</v>
      </c>
      <c r="E182" s="1">
        <v>46090</v>
      </c>
      <c r="F182">
        <v>194.74</v>
      </c>
      <c r="G182">
        <v>62316.800000000003</v>
      </c>
      <c r="H182">
        <v>7</v>
      </c>
      <c r="I182">
        <v>6</v>
      </c>
    </row>
    <row r="183" spans="1:9" x14ac:dyDescent="0.3">
      <c r="A183">
        <v>2241</v>
      </c>
      <c r="B183">
        <v>11</v>
      </c>
      <c r="C183">
        <v>5</v>
      </c>
      <c r="D183">
        <v>7</v>
      </c>
      <c r="E183" s="1">
        <v>46103</v>
      </c>
      <c r="F183">
        <v>672.84</v>
      </c>
      <c r="G183">
        <v>215308.79999999999</v>
      </c>
      <c r="H183">
        <v>3</v>
      </c>
      <c r="I183">
        <v>4</v>
      </c>
    </row>
    <row r="184" spans="1:9" x14ac:dyDescent="0.3">
      <c r="A184">
        <v>2242</v>
      </c>
      <c r="B184">
        <v>24</v>
      </c>
      <c r="C184">
        <v>5</v>
      </c>
      <c r="D184">
        <v>8</v>
      </c>
      <c r="E184" s="1">
        <v>46073</v>
      </c>
      <c r="F184">
        <v>717.23</v>
      </c>
      <c r="G184">
        <v>229513.60000000001</v>
      </c>
      <c r="H184">
        <v>4</v>
      </c>
      <c r="I184">
        <v>4</v>
      </c>
    </row>
    <row r="185" spans="1:9" x14ac:dyDescent="0.3">
      <c r="A185">
        <v>2243</v>
      </c>
      <c r="B185">
        <v>9</v>
      </c>
      <c r="C185">
        <v>5</v>
      </c>
      <c r="D185">
        <v>8</v>
      </c>
      <c r="E185" s="1">
        <v>46085</v>
      </c>
      <c r="F185">
        <v>314.2</v>
      </c>
      <c r="G185">
        <v>100544</v>
      </c>
      <c r="H185">
        <v>6</v>
      </c>
      <c r="I185">
        <v>4</v>
      </c>
    </row>
    <row r="186" spans="1:9" x14ac:dyDescent="0.3">
      <c r="A186">
        <v>2244</v>
      </c>
      <c r="B186">
        <v>1</v>
      </c>
      <c r="C186">
        <v>5</v>
      </c>
      <c r="D186">
        <v>8</v>
      </c>
      <c r="E186" s="1">
        <v>46078</v>
      </c>
      <c r="F186">
        <v>871.29</v>
      </c>
      <c r="G186">
        <v>278812.79999999999</v>
      </c>
      <c r="H186">
        <v>5</v>
      </c>
      <c r="I186">
        <v>4</v>
      </c>
    </row>
    <row r="187" spans="1:9" x14ac:dyDescent="0.3">
      <c r="A187">
        <v>2245</v>
      </c>
      <c r="B187">
        <v>10</v>
      </c>
      <c r="C187">
        <v>5</v>
      </c>
      <c r="D187">
        <v>8</v>
      </c>
      <c r="E187" s="1">
        <v>46078</v>
      </c>
      <c r="F187">
        <v>852.15</v>
      </c>
      <c r="G187">
        <v>272688</v>
      </c>
      <c r="H187">
        <v>4</v>
      </c>
      <c r="I187">
        <v>4</v>
      </c>
    </row>
    <row r="188" spans="1:9" x14ac:dyDescent="0.3">
      <c r="A188">
        <v>2246</v>
      </c>
      <c r="B188">
        <v>18</v>
      </c>
      <c r="C188">
        <v>5</v>
      </c>
      <c r="D188">
        <v>8</v>
      </c>
      <c r="E188" s="1">
        <v>46068</v>
      </c>
      <c r="F188">
        <v>441.14</v>
      </c>
      <c r="G188">
        <v>141164.79999999999</v>
      </c>
      <c r="H188">
        <v>2</v>
      </c>
      <c r="I188">
        <v>4</v>
      </c>
    </row>
    <row r="189" spans="1:9" x14ac:dyDescent="0.3">
      <c r="A189">
        <v>2247</v>
      </c>
      <c r="B189">
        <v>24</v>
      </c>
      <c r="C189">
        <v>5</v>
      </c>
      <c r="D189">
        <v>9</v>
      </c>
      <c r="E189" s="1">
        <v>46045</v>
      </c>
      <c r="F189">
        <v>742.02</v>
      </c>
      <c r="G189">
        <v>237446.39999999999</v>
      </c>
      <c r="H189">
        <v>5</v>
      </c>
      <c r="I189">
        <v>6</v>
      </c>
    </row>
    <row r="190" spans="1:9" x14ac:dyDescent="0.3">
      <c r="A190">
        <v>2248</v>
      </c>
      <c r="B190">
        <v>16</v>
      </c>
      <c r="C190">
        <v>5</v>
      </c>
      <c r="D190">
        <v>9</v>
      </c>
      <c r="E190" s="1">
        <v>46049</v>
      </c>
      <c r="F190">
        <v>927.33</v>
      </c>
      <c r="G190">
        <v>296745.59999999998</v>
      </c>
      <c r="H190">
        <v>6</v>
      </c>
      <c r="I190">
        <v>6</v>
      </c>
    </row>
    <row r="191" spans="1:9" x14ac:dyDescent="0.3">
      <c r="A191">
        <v>2249</v>
      </c>
      <c r="B191">
        <v>24</v>
      </c>
      <c r="C191">
        <v>5</v>
      </c>
      <c r="D191">
        <v>10</v>
      </c>
      <c r="E191" s="1">
        <v>46101</v>
      </c>
      <c r="F191">
        <v>448.36</v>
      </c>
      <c r="G191">
        <v>143475.20000000001</v>
      </c>
      <c r="H191">
        <v>4</v>
      </c>
      <c r="I191">
        <v>6</v>
      </c>
    </row>
    <row r="192" spans="1:9" x14ac:dyDescent="0.3">
      <c r="A192">
        <v>2250</v>
      </c>
      <c r="B192">
        <v>25</v>
      </c>
      <c r="C192">
        <v>6</v>
      </c>
      <c r="D192">
        <v>1</v>
      </c>
      <c r="E192" s="1">
        <v>46102</v>
      </c>
      <c r="F192">
        <v>450.86</v>
      </c>
      <c r="G192">
        <v>42606.27</v>
      </c>
      <c r="H192">
        <v>5</v>
      </c>
      <c r="I192">
        <v>6</v>
      </c>
    </row>
    <row r="193" spans="1:9" x14ac:dyDescent="0.3">
      <c r="A193">
        <v>2251</v>
      </c>
      <c r="B193">
        <v>7</v>
      </c>
      <c r="C193">
        <v>6</v>
      </c>
      <c r="D193">
        <v>1</v>
      </c>
      <c r="E193" s="1">
        <v>46053</v>
      </c>
      <c r="F193">
        <v>442.96</v>
      </c>
      <c r="G193">
        <v>41859.72</v>
      </c>
      <c r="H193">
        <v>7</v>
      </c>
      <c r="I193">
        <v>6</v>
      </c>
    </row>
    <row r="194" spans="1:9" x14ac:dyDescent="0.3">
      <c r="A194">
        <v>2252</v>
      </c>
      <c r="B194">
        <v>25</v>
      </c>
      <c r="C194">
        <v>6</v>
      </c>
      <c r="D194">
        <v>1</v>
      </c>
      <c r="E194" s="1">
        <v>46101</v>
      </c>
      <c r="F194">
        <v>404.79</v>
      </c>
      <c r="G194">
        <v>38252.660000000003</v>
      </c>
      <c r="H194">
        <v>4</v>
      </c>
      <c r="I194">
        <v>6</v>
      </c>
    </row>
    <row r="195" spans="1:9" x14ac:dyDescent="0.3">
      <c r="A195">
        <v>2253</v>
      </c>
      <c r="B195">
        <v>10</v>
      </c>
      <c r="C195">
        <v>6</v>
      </c>
      <c r="D195">
        <v>2</v>
      </c>
      <c r="E195" s="1">
        <v>46059</v>
      </c>
      <c r="F195">
        <v>616.45000000000005</v>
      </c>
      <c r="G195">
        <v>58254.52</v>
      </c>
      <c r="H195">
        <v>4</v>
      </c>
      <c r="I195">
        <v>4</v>
      </c>
    </row>
    <row r="196" spans="1:9" x14ac:dyDescent="0.3">
      <c r="A196">
        <v>2254</v>
      </c>
      <c r="B196">
        <v>8</v>
      </c>
      <c r="C196">
        <v>6</v>
      </c>
      <c r="D196">
        <v>2</v>
      </c>
      <c r="E196" s="1">
        <v>46076</v>
      </c>
      <c r="F196">
        <v>531.30999999999995</v>
      </c>
      <c r="G196">
        <v>50208.800000000003</v>
      </c>
      <c r="H196">
        <v>3</v>
      </c>
      <c r="I196">
        <v>4</v>
      </c>
    </row>
    <row r="197" spans="1:9" x14ac:dyDescent="0.3">
      <c r="A197">
        <v>2255</v>
      </c>
      <c r="B197">
        <v>8</v>
      </c>
      <c r="C197">
        <v>6</v>
      </c>
      <c r="D197">
        <v>2</v>
      </c>
      <c r="E197" s="1">
        <v>46060</v>
      </c>
      <c r="F197">
        <v>710.11</v>
      </c>
      <c r="G197">
        <v>67105.399999999994</v>
      </c>
      <c r="H197">
        <v>7</v>
      </c>
      <c r="I197">
        <v>4</v>
      </c>
    </row>
    <row r="198" spans="1:9" x14ac:dyDescent="0.3">
      <c r="A198">
        <v>2256</v>
      </c>
      <c r="B198">
        <v>1</v>
      </c>
      <c r="C198">
        <v>6</v>
      </c>
      <c r="D198">
        <v>2</v>
      </c>
      <c r="E198" s="1">
        <v>46063</v>
      </c>
      <c r="F198">
        <v>832.04</v>
      </c>
      <c r="G198">
        <v>78627.78</v>
      </c>
      <c r="H198">
        <v>2</v>
      </c>
      <c r="I198">
        <v>4</v>
      </c>
    </row>
    <row r="199" spans="1:9" x14ac:dyDescent="0.3">
      <c r="A199">
        <v>2257</v>
      </c>
      <c r="B199">
        <v>23</v>
      </c>
      <c r="C199">
        <v>6</v>
      </c>
      <c r="D199">
        <v>3</v>
      </c>
      <c r="E199" s="1">
        <v>46031</v>
      </c>
      <c r="F199">
        <v>738.02</v>
      </c>
      <c r="G199">
        <v>69742.89</v>
      </c>
      <c r="H199">
        <v>3</v>
      </c>
      <c r="I199">
        <v>4</v>
      </c>
    </row>
    <row r="200" spans="1:9" x14ac:dyDescent="0.3">
      <c r="A200">
        <v>2258</v>
      </c>
      <c r="B200">
        <v>24</v>
      </c>
      <c r="C200">
        <v>6</v>
      </c>
      <c r="D200">
        <v>3</v>
      </c>
      <c r="E200" s="1">
        <v>46026</v>
      </c>
      <c r="F200">
        <v>478.7</v>
      </c>
      <c r="G200">
        <v>45237.15</v>
      </c>
      <c r="H200">
        <v>5</v>
      </c>
      <c r="I200">
        <v>4</v>
      </c>
    </row>
    <row r="201" spans="1:9" x14ac:dyDescent="0.3">
      <c r="A201">
        <v>2259</v>
      </c>
      <c r="B201">
        <v>6</v>
      </c>
      <c r="C201">
        <v>6</v>
      </c>
      <c r="D201">
        <v>3</v>
      </c>
      <c r="E201" s="1">
        <v>46043</v>
      </c>
      <c r="F201">
        <v>362.85</v>
      </c>
      <c r="G201">
        <v>34289.33</v>
      </c>
      <c r="H201">
        <v>2</v>
      </c>
      <c r="I201">
        <v>4</v>
      </c>
    </row>
    <row r="202" spans="1:9" x14ac:dyDescent="0.3">
      <c r="A202">
        <v>2260</v>
      </c>
      <c r="B202">
        <v>14</v>
      </c>
      <c r="C202">
        <v>6</v>
      </c>
      <c r="D202">
        <v>3</v>
      </c>
      <c r="E202" s="1">
        <v>46045</v>
      </c>
      <c r="F202">
        <v>448.33</v>
      </c>
      <c r="G202">
        <v>42367.18</v>
      </c>
      <c r="H202">
        <v>2</v>
      </c>
      <c r="I202">
        <v>4</v>
      </c>
    </row>
    <row r="203" spans="1:9" x14ac:dyDescent="0.3">
      <c r="A203">
        <v>2261</v>
      </c>
      <c r="B203">
        <v>7</v>
      </c>
      <c r="C203">
        <v>6</v>
      </c>
      <c r="D203">
        <v>4</v>
      </c>
      <c r="E203" s="1">
        <v>46065</v>
      </c>
      <c r="F203">
        <v>394.35</v>
      </c>
      <c r="G203">
        <v>37266.080000000002</v>
      </c>
      <c r="H203">
        <v>6</v>
      </c>
      <c r="I203">
        <v>6</v>
      </c>
    </row>
    <row r="204" spans="1:9" x14ac:dyDescent="0.3">
      <c r="A204">
        <v>2262</v>
      </c>
      <c r="B204">
        <v>8</v>
      </c>
      <c r="C204">
        <v>6</v>
      </c>
      <c r="D204">
        <v>4</v>
      </c>
      <c r="E204" s="1">
        <v>46051</v>
      </c>
      <c r="F204">
        <v>608.91999999999996</v>
      </c>
      <c r="G204">
        <v>57542.94</v>
      </c>
      <c r="H204">
        <v>8</v>
      </c>
      <c r="I204">
        <v>6</v>
      </c>
    </row>
    <row r="205" spans="1:9" x14ac:dyDescent="0.3">
      <c r="A205">
        <v>2263</v>
      </c>
      <c r="B205">
        <v>24</v>
      </c>
      <c r="C205">
        <v>6</v>
      </c>
      <c r="D205">
        <v>5</v>
      </c>
      <c r="E205" s="1">
        <v>46085</v>
      </c>
      <c r="F205">
        <v>314.81</v>
      </c>
      <c r="G205">
        <v>29749.54</v>
      </c>
      <c r="H205">
        <v>5</v>
      </c>
      <c r="I205">
        <v>6</v>
      </c>
    </row>
    <row r="206" spans="1:9" x14ac:dyDescent="0.3">
      <c r="A206">
        <v>2264</v>
      </c>
      <c r="B206">
        <v>16</v>
      </c>
      <c r="C206">
        <v>6</v>
      </c>
      <c r="D206">
        <v>5</v>
      </c>
      <c r="E206" s="1">
        <v>46110</v>
      </c>
      <c r="F206">
        <v>527.29999999999995</v>
      </c>
      <c r="G206">
        <v>49829.85</v>
      </c>
      <c r="H206">
        <v>4</v>
      </c>
      <c r="I206">
        <v>6</v>
      </c>
    </row>
    <row r="207" spans="1:9" x14ac:dyDescent="0.3">
      <c r="A207">
        <v>2265</v>
      </c>
      <c r="B207">
        <v>7</v>
      </c>
      <c r="C207">
        <v>6</v>
      </c>
      <c r="D207">
        <v>5</v>
      </c>
      <c r="E207" s="1">
        <v>46098</v>
      </c>
      <c r="F207">
        <v>916.14</v>
      </c>
      <c r="G207">
        <v>86575.23</v>
      </c>
      <c r="H207">
        <v>6</v>
      </c>
      <c r="I207">
        <v>6</v>
      </c>
    </row>
    <row r="208" spans="1:9" x14ac:dyDescent="0.3">
      <c r="A208">
        <v>2266</v>
      </c>
      <c r="B208">
        <v>22</v>
      </c>
      <c r="C208">
        <v>6</v>
      </c>
      <c r="D208">
        <v>5</v>
      </c>
      <c r="E208" s="1">
        <v>46101</v>
      </c>
      <c r="F208">
        <v>228.91</v>
      </c>
      <c r="G208">
        <v>21632</v>
      </c>
      <c r="H208">
        <v>4</v>
      </c>
      <c r="I208">
        <v>6</v>
      </c>
    </row>
    <row r="209" spans="1:9" x14ac:dyDescent="0.3">
      <c r="A209">
        <v>2267</v>
      </c>
      <c r="B209">
        <v>14</v>
      </c>
      <c r="C209">
        <v>6</v>
      </c>
      <c r="D209">
        <v>6</v>
      </c>
      <c r="E209" s="1">
        <v>46080</v>
      </c>
      <c r="F209">
        <v>465.7</v>
      </c>
      <c r="G209">
        <v>44008.65</v>
      </c>
      <c r="H209">
        <v>6</v>
      </c>
      <c r="I209">
        <v>6</v>
      </c>
    </row>
    <row r="210" spans="1:9" x14ac:dyDescent="0.3">
      <c r="A210">
        <v>2268</v>
      </c>
      <c r="B210">
        <v>21</v>
      </c>
      <c r="C210">
        <v>6</v>
      </c>
      <c r="D210">
        <v>6</v>
      </c>
      <c r="E210" s="1">
        <v>46077</v>
      </c>
      <c r="F210">
        <v>390.22</v>
      </c>
      <c r="G210">
        <v>36875.79</v>
      </c>
      <c r="H210">
        <v>9</v>
      </c>
      <c r="I210">
        <v>6</v>
      </c>
    </row>
    <row r="211" spans="1:9" x14ac:dyDescent="0.3">
      <c r="A211">
        <v>2269</v>
      </c>
      <c r="B211">
        <v>5</v>
      </c>
      <c r="C211">
        <v>6</v>
      </c>
      <c r="D211">
        <v>6</v>
      </c>
      <c r="E211" s="1">
        <v>46058</v>
      </c>
      <c r="F211">
        <v>431.07</v>
      </c>
      <c r="G211">
        <v>40736.120000000003</v>
      </c>
      <c r="H211">
        <v>4</v>
      </c>
      <c r="I211">
        <v>6</v>
      </c>
    </row>
    <row r="212" spans="1:9" x14ac:dyDescent="0.3">
      <c r="A212">
        <v>2270</v>
      </c>
      <c r="B212">
        <v>11</v>
      </c>
      <c r="C212">
        <v>6</v>
      </c>
      <c r="D212">
        <v>7</v>
      </c>
      <c r="E212" s="1">
        <v>46037</v>
      </c>
      <c r="F212">
        <v>808.57</v>
      </c>
      <c r="G212">
        <v>76409.87</v>
      </c>
      <c r="H212">
        <v>3</v>
      </c>
      <c r="I212">
        <v>4</v>
      </c>
    </row>
    <row r="213" spans="1:9" x14ac:dyDescent="0.3">
      <c r="A213">
        <v>2271</v>
      </c>
      <c r="B213">
        <v>4</v>
      </c>
      <c r="C213">
        <v>6</v>
      </c>
      <c r="D213">
        <v>7</v>
      </c>
      <c r="E213" s="1">
        <v>46111</v>
      </c>
      <c r="F213">
        <v>995.66</v>
      </c>
      <c r="G213">
        <v>94089.87</v>
      </c>
      <c r="H213">
        <v>4</v>
      </c>
      <c r="I213">
        <v>4</v>
      </c>
    </row>
    <row r="214" spans="1:9" x14ac:dyDescent="0.3">
      <c r="A214">
        <v>2272</v>
      </c>
      <c r="B214">
        <v>11</v>
      </c>
      <c r="C214">
        <v>6</v>
      </c>
      <c r="D214">
        <v>7</v>
      </c>
      <c r="E214" s="1">
        <v>46052</v>
      </c>
      <c r="F214">
        <v>573.84</v>
      </c>
      <c r="G214">
        <v>54227.88</v>
      </c>
      <c r="H214">
        <v>4</v>
      </c>
      <c r="I214">
        <v>4</v>
      </c>
    </row>
    <row r="215" spans="1:9" x14ac:dyDescent="0.3">
      <c r="A215">
        <v>2273</v>
      </c>
      <c r="B215">
        <v>5</v>
      </c>
      <c r="C215">
        <v>6</v>
      </c>
      <c r="D215">
        <v>7</v>
      </c>
      <c r="E215" s="1">
        <v>46100</v>
      </c>
      <c r="F215">
        <v>460.24</v>
      </c>
      <c r="G215">
        <v>43492.68</v>
      </c>
      <c r="H215">
        <v>5</v>
      </c>
      <c r="I215">
        <v>4</v>
      </c>
    </row>
    <row r="216" spans="1:9" x14ac:dyDescent="0.3">
      <c r="A216">
        <v>2274</v>
      </c>
      <c r="B216">
        <v>20</v>
      </c>
      <c r="C216">
        <v>6</v>
      </c>
      <c r="D216">
        <v>7</v>
      </c>
      <c r="E216" s="1">
        <v>46038</v>
      </c>
      <c r="F216">
        <v>812.62</v>
      </c>
      <c r="G216">
        <v>76792.59</v>
      </c>
      <c r="H216">
        <v>5</v>
      </c>
      <c r="I216">
        <v>4</v>
      </c>
    </row>
    <row r="217" spans="1:9" x14ac:dyDescent="0.3">
      <c r="A217">
        <v>2275</v>
      </c>
      <c r="B217">
        <v>4</v>
      </c>
      <c r="C217">
        <v>6</v>
      </c>
      <c r="D217">
        <v>7</v>
      </c>
      <c r="E217" s="1">
        <v>46028</v>
      </c>
      <c r="F217">
        <v>375.69</v>
      </c>
      <c r="G217">
        <v>35502.699999999997</v>
      </c>
      <c r="H217">
        <v>2</v>
      </c>
      <c r="I217">
        <v>4</v>
      </c>
    </row>
    <row r="218" spans="1:9" x14ac:dyDescent="0.3">
      <c r="A218">
        <v>2276</v>
      </c>
      <c r="B218">
        <v>3</v>
      </c>
      <c r="C218">
        <v>6</v>
      </c>
      <c r="D218">
        <v>7</v>
      </c>
      <c r="E218" s="1">
        <v>46047</v>
      </c>
      <c r="F218">
        <v>347.04</v>
      </c>
      <c r="G218">
        <v>32795.279999999999</v>
      </c>
      <c r="H218">
        <v>6</v>
      </c>
      <c r="I218">
        <v>4</v>
      </c>
    </row>
    <row r="219" spans="1:9" x14ac:dyDescent="0.3">
      <c r="A219">
        <v>2277</v>
      </c>
      <c r="B219">
        <v>5</v>
      </c>
      <c r="C219">
        <v>6</v>
      </c>
      <c r="D219">
        <v>8</v>
      </c>
      <c r="E219" s="1">
        <v>46041</v>
      </c>
      <c r="F219">
        <v>900.98</v>
      </c>
      <c r="G219">
        <v>85142.61</v>
      </c>
      <c r="H219">
        <v>2</v>
      </c>
      <c r="I219">
        <v>4</v>
      </c>
    </row>
    <row r="220" spans="1:9" x14ac:dyDescent="0.3">
      <c r="A220">
        <v>2278</v>
      </c>
      <c r="B220">
        <v>12</v>
      </c>
      <c r="C220">
        <v>6</v>
      </c>
      <c r="D220">
        <v>8</v>
      </c>
      <c r="E220" s="1">
        <v>46052</v>
      </c>
      <c r="F220">
        <v>525.08000000000004</v>
      </c>
      <c r="G220">
        <v>49620.06</v>
      </c>
      <c r="H220">
        <v>5</v>
      </c>
      <c r="I220">
        <v>4</v>
      </c>
    </row>
    <row r="221" spans="1:9" x14ac:dyDescent="0.3">
      <c r="A221">
        <v>2279</v>
      </c>
      <c r="B221">
        <v>20</v>
      </c>
      <c r="C221">
        <v>6</v>
      </c>
      <c r="D221">
        <v>8</v>
      </c>
      <c r="E221" s="1">
        <v>46059</v>
      </c>
      <c r="F221">
        <v>858.6</v>
      </c>
      <c r="G221">
        <v>81137.7</v>
      </c>
      <c r="H221">
        <v>4</v>
      </c>
      <c r="I221">
        <v>4</v>
      </c>
    </row>
    <row r="222" spans="1:9" x14ac:dyDescent="0.3">
      <c r="A222">
        <v>2280</v>
      </c>
      <c r="B222">
        <v>21</v>
      </c>
      <c r="C222">
        <v>6</v>
      </c>
      <c r="D222">
        <v>8</v>
      </c>
      <c r="E222" s="1">
        <v>46057</v>
      </c>
      <c r="F222">
        <v>741.02</v>
      </c>
      <c r="G222">
        <v>70026.39</v>
      </c>
      <c r="H222">
        <v>7</v>
      </c>
      <c r="I222">
        <v>4</v>
      </c>
    </row>
    <row r="223" spans="1:9" x14ac:dyDescent="0.3">
      <c r="A223">
        <v>2281</v>
      </c>
      <c r="B223">
        <v>11</v>
      </c>
      <c r="C223">
        <v>6</v>
      </c>
      <c r="D223">
        <v>9</v>
      </c>
      <c r="E223" s="1">
        <v>46032</v>
      </c>
      <c r="F223">
        <v>901.49</v>
      </c>
      <c r="G223">
        <v>85190.8</v>
      </c>
      <c r="H223">
        <v>8</v>
      </c>
      <c r="I223">
        <v>6</v>
      </c>
    </row>
    <row r="224" spans="1:9" x14ac:dyDescent="0.3">
      <c r="A224">
        <v>2282</v>
      </c>
      <c r="B224">
        <v>21</v>
      </c>
      <c r="C224">
        <v>6</v>
      </c>
      <c r="D224">
        <v>9</v>
      </c>
      <c r="E224" s="1">
        <v>46088</v>
      </c>
      <c r="F224">
        <v>272.51</v>
      </c>
      <c r="G224">
        <v>25752.2</v>
      </c>
      <c r="H224">
        <v>4</v>
      </c>
      <c r="I224">
        <v>6</v>
      </c>
    </row>
    <row r="225" spans="1:9" x14ac:dyDescent="0.3">
      <c r="A225">
        <v>2283</v>
      </c>
      <c r="B225">
        <v>9</v>
      </c>
      <c r="C225">
        <v>6</v>
      </c>
      <c r="D225">
        <v>10</v>
      </c>
      <c r="E225" s="1">
        <v>46084</v>
      </c>
      <c r="F225">
        <v>509.16</v>
      </c>
      <c r="G225">
        <v>48115.62</v>
      </c>
      <c r="H225">
        <v>4</v>
      </c>
      <c r="I225">
        <v>6</v>
      </c>
    </row>
    <row r="226" spans="1:9" x14ac:dyDescent="0.3">
      <c r="A226">
        <v>2284</v>
      </c>
      <c r="B226">
        <v>11</v>
      </c>
      <c r="C226">
        <v>6</v>
      </c>
      <c r="D226">
        <v>10</v>
      </c>
      <c r="E226" s="1">
        <v>46049</v>
      </c>
      <c r="F226">
        <v>773.26</v>
      </c>
      <c r="G226">
        <v>73073.070000000007</v>
      </c>
      <c r="H226">
        <v>7</v>
      </c>
      <c r="I226">
        <v>6</v>
      </c>
    </row>
    <row r="227" spans="1:9" x14ac:dyDescent="0.3">
      <c r="A227">
        <v>2285</v>
      </c>
      <c r="B227">
        <v>1</v>
      </c>
      <c r="C227">
        <v>6</v>
      </c>
      <c r="D227">
        <v>10</v>
      </c>
      <c r="E227" s="1">
        <v>46071</v>
      </c>
      <c r="F227">
        <v>840.06</v>
      </c>
      <c r="G227">
        <v>79385.67</v>
      </c>
      <c r="H227">
        <v>5</v>
      </c>
      <c r="I227">
        <v>6</v>
      </c>
    </row>
    <row r="228" spans="1:9" x14ac:dyDescent="0.3">
      <c r="A228">
        <v>2286</v>
      </c>
      <c r="B228">
        <v>3</v>
      </c>
      <c r="C228">
        <v>6</v>
      </c>
      <c r="D228">
        <v>10</v>
      </c>
      <c r="E228" s="1">
        <v>46064</v>
      </c>
      <c r="F228">
        <v>490.95</v>
      </c>
      <c r="G228">
        <v>46394.78</v>
      </c>
      <c r="H228">
        <v>4</v>
      </c>
      <c r="I228">
        <v>6</v>
      </c>
    </row>
    <row r="229" spans="1:9" x14ac:dyDescent="0.3">
      <c r="A229">
        <v>2287</v>
      </c>
      <c r="B229">
        <v>17</v>
      </c>
      <c r="C229">
        <v>6</v>
      </c>
      <c r="D229">
        <v>10</v>
      </c>
      <c r="E229" s="1">
        <v>46079</v>
      </c>
      <c r="F229">
        <v>331.98</v>
      </c>
      <c r="G229">
        <v>31372.11</v>
      </c>
      <c r="H229">
        <v>5</v>
      </c>
      <c r="I229">
        <v>6</v>
      </c>
    </row>
    <row r="230" spans="1:9" x14ac:dyDescent="0.3">
      <c r="A230">
        <v>2288</v>
      </c>
      <c r="B230">
        <v>18</v>
      </c>
      <c r="C230">
        <v>6</v>
      </c>
      <c r="D230">
        <v>10</v>
      </c>
      <c r="E230" s="1">
        <v>46077</v>
      </c>
      <c r="F230">
        <v>200.01</v>
      </c>
      <c r="G230">
        <v>18900.939999999999</v>
      </c>
      <c r="H230">
        <v>4</v>
      </c>
      <c r="I230">
        <v>6</v>
      </c>
    </row>
    <row r="231" spans="1:9" x14ac:dyDescent="0.3">
      <c r="A231">
        <v>2289</v>
      </c>
      <c r="B231">
        <v>21</v>
      </c>
      <c r="C231">
        <v>7</v>
      </c>
      <c r="D231">
        <v>1</v>
      </c>
      <c r="E231" s="1">
        <v>46090</v>
      </c>
      <c r="F231">
        <v>600.42999999999995</v>
      </c>
      <c r="G231">
        <v>53888.59</v>
      </c>
      <c r="H231">
        <v>4</v>
      </c>
      <c r="I231">
        <v>6</v>
      </c>
    </row>
    <row r="232" spans="1:9" x14ac:dyDescent="0.3">
      <c r="A232">
        <v>2290</v>
      </c>
      <c r="B232">
        <v>11</v>
      </c>
      <c r="C232">
        <v>7</v>
      </c>
      <c r="D232">
        <v>1</v>
      </c>
      <c r="E232" s="1">
        <v>46090</v>
      </c>
      <c r="F232">
        <v>722.1</v>
      </c>
      <c r="G232">
        <v>64808.480000000003</v>
      </c>
      <c r="H232">
        <v>4</v>
      </c>
      <c r="I232">
        <v>6</v>
      </c>
    </row>
    <row r="233" spans="1:9" x14ac:dyDescent="0.3">
      <c r="A233">
        <v>2291</v>
      </c>
      <c r="B233">
        <v>2</v>
      </c>
      <c r="C233">
        <v>7</v>
      </c>
      <c r="D233">
        <v>2</v>
      </c>
      <c r="E233" s="1">
        <v>46048</v>
      </c>
      <c r="F233">
        <v>102.6</v>
      </c>
      <c r="G233">
        <v>9208.35</v>
      </c>
      <c r="H233">
        <v>4</v>
      </c>
      <c r="I233">
        <v>4</v>
      </c>
    </row>
    <row r="234" spans="1:9" x14ac:dyDescent="0.3">
      <c r="A234">
        <v>2292</v>
      </c>
      <c r="B234">
        <v>10</v>
      </c>
      <c r="C234">
        <v>7</v>
      </c>
      <c r="D234">
        <v>2</v>
      </c>
      <c r="E234" s="1">
        <v>46050</v>
      </c>
      <c r="F234">
        <v>198.94</v>
      </c>
      <c r="G234">
        <v>17854.87</v>
      </c>
      <c r="H234">
        <v>7</v>
      </c>
      <c r="I234">
        <v>4</v>
      </c>
    </row>
    <row r="235" spans="1:9" x14ac:dyDescent="0.3">
      <c r="A235">
        <v>2293</v>
      </c>
      <c r="B235">
        <v>2</v>
      </c>
      <c r="C235">
        <v>7</v>
      </c>
      <c r="D235">
        <v>2</v>
      </c>
      <c r="E235" s="1">
        <v>46044</v>
      </c>
      <c r="F235">
        <v>810.28</v>
      </c>
      <c r="G235">
        <v>72722.63</v>
      </c>
      <c r="H235">
        <v>5</v>
      </c>
      <c r="I235">
        <v>4</v>
      </c>
    </row>
    <row r="236" spans="1:9" x14ac:dyDescent="0.3">
      <c r="A236">
        <v>2294</v>
      </c>
      <c r="B236">
        <v>9</v>
      </c>
      <c r="C236">
        <v>7</v>
      </c>
      <c r="D236">
        <v>3</v>
      </c>
      <c r="E236" s="1">
        <v>46106</v>
      </c>
      <c r="F236">
        <v>849.87</v>
      </c>
      <c r="G236">
        <v>76275.83</v>
      </c>
      <c r="H236">
        <v>6</v>
      </c>
      <c r="I236">
        <v>4</v>
      </c>
    </row>
    <row r="237" spans="1:9" x14ac:dyDescent="0.3">
      <c r="A237">
        <v>2295</v>
      </c>
      <c r="B237">
        <v>10</v>
      </c>
      <c r="C237">
        <v>7</v>
      </c>
      <c r="D237">
        <v>3</v>
      </c>
      <c r="E237" s="1">
        <v>46111</v>
      </c>
      <c r="F237">
        <v>109.31</v>
      </c>
      <c r="G237">
        <v>9810.57</v>
      </c>
      <c r="H237">
        <v>2</v>
      </c>
      <c r="I237">
        <v>4</v>
      </c>
    </row>
    <row r="238" spans="1:9" x14ac:dyDescent="0.3">
      <c r="A238">
        <v>2296</v>
      </c>
      <c r="B238">
        <v>4</v>
      </c>
      <c r="C238">
        <v>7</v>
      </c>
      <c r="D238">
        <v>3</v>
      </c>
      <c r="E238" s="1">
        <v>46085</v>
      </c>
      <c r="F238">
        <v>736.22</v>
      </c>
      <c r="G238">
        <v>66075.740000000005</v>
      </c>
      <c r="H238">
        <v>2</v>
      </c>
      <c r="I238">
        <v>4</v>
      </c>
    </row>
    <row r="239" spans="1:9" x14ac:dyDescent="0.3">
      <c r="A239">
        <v>2297</v>
      </c>
      <c r="B239">
        <v>1</v>
      </c>
      <c r="C239">
        <v>7</v>
      </c>
      <c r="D239">
        <v>4</v>
      </c>
      <c r="E239" s="1">
        <v>46049</v>
      </c>
      <c r="F239">
        <v>500.9</v>
      </c>
      <c r="G239">
        <v>44955.78</v>
      </c>
      <c r="H239">
        <v>4</v>
      </c>
      <c r="I239">
        <v>6</v>
      </c>
    </row>
    <row r="240" spans="1:9" x14ac:dyDescent="0.3">
      <c r="A240">
        <v>2298</v>
      </c>
      <c r="B240">
        <v>25</v>
      </c>
      <c r="C240">
        <v>7</v>
      </c>
      <c r="D240">
        <v>4</v>
      </c>
      <c r="E240" s="1">
        <v>46071</v>
      </c>
      <c r="F240">
        <v>601.78</v>
      </c>
      <c r="G240">
        <v>54009.760000000002</v>
      </c>
      <c r="H240">
        <v>6</v>
      </c>
      <c r="I240">
        <v>6</v>
      </c>
    </row>
    <row r="241" spans="1:9" x14ac:dyDescent="0.3">
      <c r="A241">
        <v>2299</v>
      </c>
      <c r="B241">
        <v>10</v>
      </c>
      <c r="C241">
        <v>7</v>
      </c>
      <c r="D241">
        <v>4</v>
      </c>
      <c r="E241" s="1">
        <v>46038</v>
      </c>
      <c r="F241">
        <v>880.8</v>
      </c>
      <c r="G241">
        <v>79051.8</v>
      </c>
      <c r="H241">
        <v>6</v>
      </c>
      <c r="I241">
        <v>6</v>
      </c>
    </row>
    <row r="242" spans="1:9" x14ac:dyDescent="0.3">
      <c r="A242">
        <v>2300</v>
      </c>
      <c r="B242">
        <v>25</v>
      </c>
      <c r="C242">
        <v>7</v>
      </c>
      <c r="D242">
        <v>5</v>
      </c>
      <c r="E242" s="1">
        <v>46097</v>
      </c>
      <c r="F242">
        <v>784.7</v>
      </c>
      <c r="G242">
        <v>70426.820000000007</v>
      </c>
      <c r="H242">
        <v>4</v>
      </c>
      <c r="I242">
        <v>6</v>
      </c>
    </row>
    <row r="243" spans="1:9" x14ac:dyDescent="0.3">
      <c r="A243">
        <v>2301</v>
      </c>
      <c r="B243">
        <v>18</v>
      </c>
      <c r="C243">
        <v>7</v>
      </c>
      <c r="D243">
        <v>5</v>
      </c>
      <c r="E243" s="1">
        <v>46095</v>
      </c>
      <c r="F243">
        <v>695.1</v>
      </c>
      <c r="G243">
        <v>62385.22</v>
      </c>
      <c r="H243">
        <v>9</v>
      </c>
      <c r="I243">
        <v>6</v>
      </c>
    </row>
    <row r="244" spans="1:9" x14ac:dyDescent="0.3">
      <c r="A244">
        <v>2302</v>
      </c>
      <c r="B244">
        <v>1</v>
      </c>
      <c r="C244">
        <v>7</v>
      </c>
      <c r="D244">
        <v>6</v>
      </c>
      <c r="E244" s="1">
        <v>46046</v>
      </c>
      <c r="F244">
        <v>637.5</v>
      </c>
      <c r="G244">
        <v>57215.62</v>
      </c>
      <c r="H244">
        <v>9</v>
      </c>
      <c r="I244">
        <v>6</v>
      </c>
    </row>
    <row r="245" spans="1:9" x14ac:dyDescent="0.3">
      <c r="A245">
        <v>2303</v>
      </c>
      <c r="B245">
        <v>16</v>
      </c>
      <c r="C245">
        <v>7</v>
      </c>
      <c r="D245">
        <v>7</v>
      </c>
      <c r="E245" s="1">
        <v>46093</v>
      </c>
      <c r="F245">
        <v>954.77</v>
      </c>
      <c r="G245">
        <v>85690.61</v>
      </c>
      <c r="H245">
        <v>7</v>
      </c>
      <c r="I245">
        <v>4</v>
      </c>
    </row>
    <row r="246" spans="1:9" x14ac:dyDescent="0.3">
      <c r="A246">
        <v>2304</v>
      </c>
      <c r="B246">
        <v>17</v>
      </c>
      <c r="C246">
        <v>7</v>
      </c>
      <c r="D246">
        <v>7</v>
      </c>
      <c r="E246" s="1">
        <v>46066</v>
      </c>
      <c r="F246">
        <v>669.96</v>
      </c>
      <c r="G246">
        <v>60128.91</v>
      </c>
      <c r="H246">
        <v>4</v>
      </c>
      <c r="I246">
        <v>4</v>
      </c>
    </row>
    <row r="247" spans="1:9" x14ac:dyDescent="0.3">
      <c r="A247">
        <v>2305</v>
      </c>
      <c r="B247">
        <v>15</v>
      </c>
      <c r="C247">
        <v>7</v>
      </c>
      <c r="D247">
        <v>7</v>
      </c>
      <c r="E247" s="1">
        <v>46096</v>
      </c>
      <c r="F247">
        <v>234.35</v>
      </c>
      <c r="G247">
        <v>21032.91</v>
      </c>
      <c r="H247">
        <v>5</v>
      </c>
      <c r="I247">
        <v>4</v>
      </c>
    </row>
    <row r="248" spans="1:9" x14ac:dyDescent="0.3">
      <c r="A248">
        <v>2306</v>
      </c>
      <c r="B248">
        <v>23</v>
      </c>
      <c r="C248">
        <v>7</v>
      </c>
      <c r="D248">
        <v>7</v>
      </c>
      <c r="E248" s="1">
        <v>46102</v>
      </c>
      <c r="F248">
        <v>500.68</v>
      </c>
      <c r="G248">
        <v>44936.03</v>
      </c>
      <c r="H248">
        <v>4</v>
      </c>
      <c r="I248">
        <v>4</v>
      </c>
    </row>
    <row r="249" spans="1:9" x14ac:dyDescent="0.3">
      <c r="A249">
        <v>2307</v>
      </c>
      <c r="B249">
        <v>15</v>
      </c>
      <c r="C249">
        <v>7</v>
      </c>
      <c r="D249">
        <v>7</v>
      </c>
      <c r="E249" s="1">
        <v>46105</v>
      </c>
      <c r="F249">
        <v>640.30999999999995</v>
      </c>
      <c r="G249">
        <v>57467.82</v>
      </c>
      <c r="H249">
        <v>5</v>
      </c>
      <c r="I249">
        <v>4</v>
      </c>
    </row>
    <row r="250" spans="1:9" x14ac:dyDescent="0.3">
      <c r="A250">
        <v>2308</v>
      </c>
      <c r="B250">
        <v>24</v>
      </c>
      <c r="C250">
        <v>7</v>
      </c>
      <c r="D250">
        <v>7</v>
      </c>
      <c r="E250" s="1">
        <v>46093</v>
      </c>
      <c r="F250">
        <v>959.31</v>
      </c>
      <c r="G250">
        <v>86098.07</v>
      </c>
      <c r="H250">
        <v>4</v>
      </c>
      <c r="I250">
        <v>4</v>
      </c>
    </row>
    <row r="251" spans="1:9" x14ac:dyDescent="0.3">
      <c r="A251">
        <v>2309</v>
      </c>
      <c r="B251">
        <v>24</v>
      </c>
      <c r="C251">
        <v>7</v>
      </c>
      <c r="D251">
        <v>8</v>
      </c>
      <c r="E251" s="1">
        <v>46050</v>
      </c>
      <c r="F251">
        <v>271.27999999999997</v>
      </c>
      <c r="G251">
        <v>24347.38</v>
      </c>
      <c r="H251">
        <v>2</v>
      </c>
      <c r="I251">
        <v>4</v>
      </c>
    </row>
    <row r="252" spans="1:9" x14ac:dyDescent="0.3">
      <c r="A252">
        <v>2310</v>
      </c>
      <c r="B252">
        <v>6</v>
      </c>
      <c r="C252">
        <v>7</v>
      </c>
      <c r="D252">
        <v>8</v>
      </c>
      <c r="E252" s="1">
        <v>46051</v>
      </c>
      <c r="F252">
        <v>378.65</v>
      </c>
      <c r="G252">
        <v>33983.839999999997</v>
      </c>
      <c r="H252">
        <v>3</v>
      </c>
      <c r="I252">
        <v>4</v>
      </c>
    </row>
    <row r="253" spans="1:9" x14ac:dyDescent="0.3">
      <c r="A253">
        <v>2311</v>
      </c>
      <c r="B253">
        <v>24</v>
      </c>
      <c r="C253">
        <v>7</v>
      </c>
      <c r="D253">
        <v>8</v>
      </c>
      <c r="E253" s="1">
        <v>46045</v>
      </c>
      <c r="F253">
        <v>954.49</v>
      </c>
      <c r="G253">
        <v>85665.48</v>
      </c>
      <c r="H253">
        <v>5</v>
      </c>
      <c r="I253">
        <v>4</v>
      </c>
    </row>
    <row r="254" spans="1:9" x14ac:dyDescent="0.3">
      <c r="A254">
        <v>2312</v>
      </c>
      <c r="B254">
        <v>7</v>
      </c>
      <c r="C254">
        <v>7</v>
      </c>
      <c r="D254">
        <v>8</v>
      </c>
      <c r="E254" s="1">
        <v>46028</v>
      </c>
      <c r="F254">
        <v>263.16000000000003</v>
      </c>
      <c r="G254">
        <v>23618.61</v>
      </c>
      <c r="H254">
        <v>3</v>
      </c>
      <c r="I254">
        <v>4</v>
      </c>
    </row>
    <row r="255" spans="1:9" x14ac:dyDescent="0.3">
      <c r="A255">
        <v>2313</v>
      </c>
      <c r="B255">
        <v>24</v>
      </c>
      <c r="C255">
        <v>7</v>
      </c>
      <c r="D255">
        <v>8</v>
      </c>
      <c r="E255" s="1">
        <v>46032</v>
      </c>
      <c r="F255">
        <v>424.11</v>
      </c>
      <c r="G255">
        <v>38063.870000000003</v>
      </c>
      <c r="H255">
        <v>7</v>
      </c>
      <c r="I255">
        <v>4</v>
      </c>
    </row>
    <row r="256" spans="1:9" x14ac:dyDescent="0.3">
      <c r="A256">
        <v>2314</v>
      </c>
      <c r="B256">
        <v>7</v>
      </c>
      <c r="C256">
        <v>7</v>
      </c>
      <c r="D256">
        <v>8</v>
      </c>
      <c r="E256" s="1">
        <v>46037</v>
      </c>
      <c r="F256">
        <v>672.93</v>
      </c>
      <c r="G256">
        <v>60395.47</v>
      </c>
      <c r="H256">
        <v>6</v>
      </c>
      <c r="I256">
        <v>4</v>
      </c>
    </row>
    <row r="257" spans="1:9" x14ac:dyDescent="0.3">
      <c r="A257">
        <v>2315</v>
      </c>
      <c r="B257">
        <v>15</v>
      </c>
      <c r="C257">
        <v>7</v>
      </c>
      <c r="D257">
        <v>9</v>
      </c>
      <c r="E257" s="1">
        <v>46091</v>
      </c>
      <c r="F257">
        <v>289.94</v>
      </c>
      <c r="G257">
        <v>26022.12</v>
      </c>
      <c r="H257">
        <v>9</v>
      </c>
      <c r="I257">
        <v>6</v>
      </c>
    </row>
    <row r="258" spans="1:9" x14ac:dyDescent="0.3">
      <c r="A258">
        <v>2316</v>
      </c>
      <c r="B258">
        <v>22</v>
      </c>
      <c r="C258">
        <v>7</v>
      </c>
      <c r="D258">
        <v>9</v>
      </c>
      <c r="E258" s="1">
        <v>46095</v>
      </c>
      <c r="F258">
        <v>528.22</v>
      </c>
      <c r="G258">
        <v>47407.74</v>
      </c>
      <c r="H258">
        <v>5</v>
      </c>
      <c r="I258">
        <v>6</v>
      </c>
    </row>
    <row r="259" spans="1:9" x14ac:dyDescent="0.3">
      <c r="A259">
        <v>2317</v>
      </c>
      <c r="B259">
        <v>22</v>
      </c>
      <c r="C259">
        <v>7</v>
      </c>
      <c r="D259">
        <v>10</v>
      </c>
      <c r="E259" s="1">
        <v>46057</v>
      </c>
      <c r="F259">
        <v>982.62</v>
      </c>
      <c r="G259">
        <v>88190.14</v>
      </c>
      <c r="H259">
        <v>4</v>
      </c>
      <c r="I259">
        <v>6</v>
      </c>
    </row>
    <row r="260" spans="1:9" x14ac:dyDescent="0.3">
      <c r="A260">
        <v>2318</v>
      </c>
      <c r="B260">
        <v>15</v>
      </c>
      <c r="C260">
        <v>8</v>
      </c>
      <c r="D260">
        <v>1</v>
      </c>
      <c r="E260" s="1">
        <v>46075</v>
      </c>
      <c r="F260">
        <v>762.77</v>
      </c>
      <c r="G260">
        <v>97634.559999999998</v>
      </c>
      <c r="H260">
        <v>4</v>
      </c>
      <c r="I260">
        <v>6</v>
      </c>
    </row>
    <row r="261" spans="1:9" x14ac:dyDescent="0.3">
      <c r="A261">
        <v>2319</v>
      </c>
      <c r="B261">
        <v>16</v>
      </c>
      <c r="C261">
        <v>8</v>
      </c>
      <c r="D261">
        <v>1</v>
      </c>
      <c r="E261" s="1">
        <v>46048</v>
      </c>
      <c r="F261">
        <v>484.36</v>
      </c>
      <c r="G261">
        <v>61998.080000000002</v>
      </c>
      <c r="H261">
        <v>6</v>
      </c>
      <c r="I261">
        <v>6</v>
      </c>
    </row>
    <row r="262" spans="1:9" x14ac:dyDescent="0.3">
      <c r="A262">
        <v>2320</v>
      </c>
      <c r="B262">
        <v>15</v>
      </c>
      <c r="C262">
        <v>8</v>
      </c>
      <c r="D262">
        <v>1</v>
      </c>
      <c r="E262" s="1">
        <v>46058</v>
      </c>
      <c r="F262">
        <v>944.59</v>
      </c>
      <c r="G262">
        <v>120907.52</v>
      </c>
      <c r="H262">
        <v>4</v>
      </c>
      <c r="I262">
        <v>6</v>
      </c>
    </row>
    <row r="263" spans="1:9" x14ac:dyDescent="0.3">
      <c r="A263">
        <v>2321</v>
      </c>
      <c r="B263">
        <v>16</v>
      </c>
      <c r="C263">
        <v>8</v>
      </c>
      <c r="D263">
        <v>1</v>
      </c>
      <c r="E263" s="1">
        <v>46085</v>
      </c>
      <c r="F263">
        <v>286.64</v>
      </c>
      <c r="G263">
        <v>36689.919999999998</v>
      </c>
      <c r="H263">
        <v>4</v>
      </c>
      <c r="I263">
        <v>6</v>
      </c>
    </row>
    <row r="264" spans="1:9" x14ac:dyDescent="0.3">
      <c r="A264">
        <v>2322</v>
      </c>
      <c r="B264">
        <v>23</v>
      </c>
      <c r="C264">
        <v>8</v>
      </c>
      <c r="D264">
        <v>1</v>
      </c>
      <c r="E264" s="1">
        <v>46085</v>
      </c>
      <c r="F264">
        <v>355.5</v>
      </c>
      <c r="G264">
        <v>45504</v>
      </c>
      <c r="H264">
        <v>5</v>
      </c>
      <c r="I264">
        <v>6</v>
      </c>
    </row>
    <row r="265" spans="1:9" x14ac:dyDescent="0.3">
      <c r="A265">
        <v>2323</v>
      </c>
      <c r="B265">
        <v>7</v>
      </c>
      <c r="C265">
        <v>8</v>
      </c>
      <c r="D265">
        <v>2</v>
      </c>
      <c r="E265" s="1">
        <v>46098</v>
      </c>
      <c r="F265">
        <v>855.57</v>
      </c>
      <c r="G265">
        <v>109512.96000000001</v>
      </c>
      <c r="H265">
        <v>2</v>
      </c>
      <c r="I265">
        <v>4</v>
      </c>
    </row>
    <row r="266" spans="1:9" x14ac:dyDescent="0.3">
      <c r="A266">
        <v>2324</v>
      </c>
      <c r="B266">
        <v>22</v>
      </c>
      <c r="C266">
        <v>8</v>
      </c>
      <c r="D266">
        <v>2</v>
      </c>
      <c r="E266" s="1">
        <v>46041</v>
      </c>
      <c r="F266">
        <v>568.22</v>
      </c>
      <c r="G266">
        <v>72732.160000000003</v>
      </c>
      <c r="H266">
        <v>3</v>
      </c>
      <c r="I266">
        <v>4</v>
      </c>
    </row>
    <row r="267" spans="1:9" x14ac:dyDescent="0.3">
      <c r="A267">
        <v>2325</v>
      </c>
      <c r="B267">
        <v>14</v>
      </c>
      <c r="C267">
        <v>8</v>
      </c>
      <c r="D267">
        <v>2</v>
      </c>
      <c r="E267" s="1">
        <v>46023</v>
      </c>
      <c r="F267">
        <v>686.05</v>
      </c>
      <c r="G267">
        <v>87814.399999999994</v>
      </c>
      <c r="H267">
        <v>2</v>
      </c>
      <c r="I267">
        <v>4</v>
      </c>
    </row>
    <row r="268" spans="1:9" x14ac:dyDescent="0.3">
      <c r="A268">
        <v>2326</v>
      </c>
      <c r="B268">
        <v>16</v>
      </c>
      <c r="C268">
        <v>8</v>
      </c>
      <c r="D268">
        <v>2</v>
      </c>
      <c r="E268" s="1">
        <v>46034</v>
      </c>
      <c r="F268">
        <v>173.3</v>
      </c>
      <c r="G268">
        <v>22182.400000000001</v>
      </c>
      <c r="H268">
        <v>2</v>
      </c>
      <c r="I268">
        <v>4</v>
      </c>
    </row>
    <row r="269" spans="1:9" x14ac:dyDescent="0.3">
      <c r="A269">
        <v>2327</v>
      </c>
      <c r="B269">
        <v>15</v>
      </c>
      <c r="C269">
        <v>8</v>
      </c>
      <c r="D269">
        <v>2</v>
      </c>
      <c r="E269" s="1">
        <v>46042</v>
      </c>
      <c r="F269">
        <v>514.4</v>
      </c>
      <c r="G269">
        <v>65843.199999999997</v>
      </c>
      <c r="H269">
        <v>2</v>
      </c>
      <c r="I269">
        <v>4</v>
      </c>
    </row>
    <row r="270" spans="1:9" x14ac:dyDescent="0.3">
      <c r="A270">
        <v>2328</v>
      </c>
      <c r="B270">
        <v>25</v>
      </c>
      <c r="C270">
        <v>8</v>
      </c>
      <c r="D270">
        <v>2</v>
      </c>
      <c r="E270" s="1">
        <v>46099</v>
      </c>
      <c r="F270">
        <v>859.5</v>
      </c>
      <c r="G270">
        <v>110016</v>
      </c>
      <c r="H270">
        <v>5</v>
      </c>
      <c r="I270">
        <v>4</v>
      </c>
    </row>
    <row r="271" spans="1:9" x14ac:dyDescent="0.3">
      <c r="A271">
        <v>2329</v>
      </c>
      <c r="B271">
        <v>15</v>
      </c>
      <c r="C271">
        <v>8</v>
      </c>
      <c r="D271">
        <v>4</v>
      </c>
      <c r="E271" s="1">
        <v>46091</v>
      </c>
      <c r="F271">
        <v>872.61</v>
      </c>
      <c r="G271">
        <v>111694.08</v>
      </c>
      <c r="H271">
        <v>6</v>
      </c>
      <c r="I271">
        <v>6</v>
      </c>
    </row>
    <row r="272" spans="1:9" x14ac:dyDescent="0.3">
      <c r="A272">
        <v>2330</v>
      </c>
      <c r="B272">
        <v>5</v>
      </c>
      <c r="C272">
        <v>8</v>
      </c>
      <c r="D272">
        <v>4</v>
      </c>
      <c r="E272" s="1">
        <v>46100</v>
      </c>
      <c r="F272">
        <v>420.37</v>
      </c>
      <c r="G272">
        <v>53807.360000000001</v>
      </c>
      <c r="H272">
        <v>4</v>
      </c>
      <c r="I272">
        <v>6</v>
      </c>
    </row>
    <row r="273" spans="1:9" x14ac:dyDescent="0.3">
      <c r="A273">
        <v>2331</v>
      </c>
      <c r="B273">
        <v>11</v>
      </c>
      <c r="C273">
        <v>8</v>
      </c>
      <c r="D273">
        <v>5</v>
      </c>
      <c r="E273" s="1">
        <v>46065</v>
      </c>
      <c r="F273">
        <v>192.52</v>
      </c>
      <c r="G273">
        <v>24642.560000000001</v>
      </c>
      <c r="H273">
        <v>5</v>
      </c>
      <c r="I273">
        <v>6</v>
      </c>
    </row>
    <row r="274" spans="1:9" x14ac:dyDescent="0.3">
      <c r="A274">
        <v>2332</v>
      </c>
      <c r="B274">
        <v>20</v>
      </c>
      <c r="C274">
        <v>8</v>
      </c>
      <c r="D274">
        <v>5</v>
      </c>
      <c r="E274" s="1">
        <v>46062</v>
      </c>
      <c r="F274">
        <v>919.92</v>
      </c>
      <c r="G274">
        <v>117749.75999999999</v>
      </c>
      <c r="H274">
        <v>6</v>
      </c>
      <c r="I274">
        <v>6</v>
      </c>
    </row>
    <row r="275" spans="1:9" x14ac:dyDescent="0.3">
      <c r="A275">
        <v>2333</v>
      </c>
      <c r="B275">
        <v>3</v>
      </c>
      <c r="C275">
        <v>8</v>
      </c>
      <c r="D275">
        <v>5</v>
      </c>
      <c r="E275" s="1">
        <v>46066</v>
      </c>
      <c r="F275">
        <v>226.79</v>
      </c>
      <c r="G275">
        <v>29029.119999999999</v>
      </c>
      <c r="H275">
        <v>7</v>
      </c>
      <c r="I275">
        <v>6</v>
      </c>
    </row>
    <row r="276" spans="1:9" x14ac:dyDescent="0.3">
      <c r="A276">
        <v>2334</v>
      </c>
      <c r="B276">
        <v>4</v>
      </c>
      <c r="C276">
        <v>8</v>
      </c>
      <c r="D276">
        <v>5</v>
      </c>
      <c r="E276" s="1">
        <v>46058</v>
      </c>
      <c r="F276">
        <v>746.51</v>
      </c>
      <c r="G276">
        <v>95553.279999999999</v>
      </c>
      <c r="H276">
        <v>6</v>
      </c>
      <c r="I276">
        <v>6</v>
      </c>
    </row>
    <row r="277" spans="1:9" x14ac:dyDescent="0.3">
      <c r="A277">
        <v>2335</v>
      </c>
      <c r="B277">
        <v>5</v>
      </c>
      <c r="C277">
        <v>8</v>
      </c>
      <c r="D277">
        <v>5</v>
      </c>
      <c r="E277" s="1">
        <v>46074</v>
      </c>
      <c r="F277">
        <v>456.3</v>
      </c>
      <c r="G277">
        <v>58406.400000000001</v>
      </c>
      <c r="H277">
        <v>4</v>
      </c>
      <c r="I277">
        <v>6</v>
      </c>
    </row>
    <row r="278" spans="1:9" x14ac:dyDescent="0.3">
      <c r="A278">
        <v>2336</v>
      </c>
      <c r="B278">
        <v>13</v>
      </c>
      <c r="C278">
        <v>8</v>
      </c>
      <c r="D278">
        <v>6</v>
      </c>
      <c r="E278" s="1">
        <v>46100</v>
      </c>
      <c r="F278">
        <v>739.79</v>
      </c>
      <c r="G278">
        <v>94693.119999999995</v>
      </c>
      <c r="H278">
        <v>8</v>
      </c>
      <c r="I278">
        <v>6</v>
      </c>
    </row>
    <row r="279" spans="1:9" x14ac:dyDescent="0.3">
      <c r="A279">
        <v>2337</v>
      </c>
      <c r="B279">
        <v>21</v>
      </c>
      <c r="C279">
        <v>8</v>
      </c>
      <c r="D279">
        <v>6</v>
      </c>
      <c r="E279" s="1">
        <v>46093</v>
      </c>
      <c r="F279">
        <v>438.41</v>
      </c>
      <c r="G279">
        <v>56116.480000000003</v>
      </c>
      <c r="H279">
        <v>4</v>
      </c>
      <c r="I279">
        <v>6</v>
      </c>
    </row>
    <row r="280" spans="1:9" x14ac:dyDescent="0.3">
      <c r="A280">
        <v>2338</v>
      </c>
      <c r="B280">
        <v>3</v>
      </c>
      <c r="C280">
        <v>8</v>
      </c>
      <c r="D280">
        <v>6</v>
      </c>
      <c r="E280" s="1">
        <v>46046</v>
      </c>
      <c r="F280">
        <v>562.71</v>
      </c>
      <c r="G280">
        <v>72026.880000000005</v>
      </c>
      <c r="H280">
        <v>6</v>
      </c>
      <c r="I280">
        <v>6</v>
      </c>
    </row>
    <row r="281" spans="1:9" x14ac:dyDescent="0.3">
      <c r="A281">
        <v>2339</v>
      </c>
      <c r="B281">
        <v>11</v>
      </c>
      <c r="C281">
        <v>8</v>
      </c>
      <c r="D281">
        <v>7</v>
      </c>
      <c r="E281" s="1">
        <v>46074</v>
      </c>
      <c r="F281">
        <v>882.05</v>
      </c>
      <c r="G281">
        <v>112902.39999999999</v>
      </c>
      <c r="H281">
        <v>3</v>
      </c>
      <c r="I281">
        <v>4</v>
      </c>
    </row>
    <row r="282" spans="1:9" x14ac:dyDescent="0.3">
      <c r="A282">
        <v>2340</v>
      </c>
      <c r="B282">
        <v>18</v>
      </c>
      <c r="C282">
        <v>8</v>
      </c>
      <c r="D282">
        <v>7</v>
      </c>
      <c r="E282" s="1">
        <v>46090</v>
      </c>
      <c r="F282">
        <v>724.47</v>
      </c>
      <c r="G282">
        <v>92732.160000000003</v>
      </c>
      <c r="H282">
        <v>4</v>
      </c>
      <c r="I282">
        <v>4</v>
      </c>
    </row>
    <row r="283" spans="1:9" x14ac:dyDescent="0.3">
      <c r="A283">
        <v>2341</v>
      </c>
      <c r="B283">
        <v>9</v>
      </c>
      <c r="C283">
        <v>8</v>
      </c>
      <c r="D283">
        <v>8</v>
      </c>
      <c r="E283" s="1">
        <v>46025</v>
      </c>
      <c r="F283">
        <v>924.15</v>
      </c>
      <c r="G283">
        <v>118291.2</v>
      </c>
      <c r="H283">
        <v>6</v>
      </c>
      <c r="I283">
        <v>4</v>
      </c>
    </row>
    <row r="284" spans="1:9" x14ac:dyDescent="0.3">
      <c r="A284">
        <v>2342</v>
      </c>
      <c r="B284">
        <v>19</v>
      </c>
      <c r="C284">
        <v>8</v>
      </c>
      <c r="D284">
        <v>8</v>
      </c>
      <c r="E284" s="1">
        <v>46099</v>
      </c>
      <c r="F284">
        <v>169.94</v>
      </c>
      <c r="G284">
        <v>21752.32</v>
      </c>
      <c r="H284">
        <v>2</v>
      </c>
      <c r="I284">
        <v>4</v>
      </c>
    </row>
    <row r="285" spans="1:9" x14ac:dyDescent="0.3">
      <c r="A285">
        <v>2343</v>
      </c>
      <c r="B285">
        <v>20</v>
      </c>
      <c r="C285">
        <v>8</v>
      </c>
      <c r="D285">
        <v>8</v>
      </c>
      <c r="E285" s="1">
        <v>46091</v>
      </c>
      <c r="F285">
        <v>701.87</v>
      </c>
      <c r="G285">
        <v>89839.360000000001</v>
      </c>
      <c r="H285">
        <v>3</v>
      </c>
      <c r="I285">
        <v>4</v>
      </c>
    </row>
    <row r="286" spans="1:9" x14ac:dyDescent="0.3">
      <c r="A286">
        <v>2344</v>
      </c>
      <c r="B286">
        <v>25</v>
      </c>
      <c r="C286">
        <v>8</v>
      </c>
      <c r="D286">
        <v>9</v>
      </c>
      <c r="E286" s="1">
        <v>46074</v>
      </c>
      <c r="F286">
        <v>369.69</v>
      </c>
      <c r="G286">
        <v>47320.32</v>
      </c>
      <c r="H286">
        <v>5</v>
      </c>
      <c r="I286">
        <v>6</v>
      </c>
    </row>
    <row r="287" spans="1:9" x14ac:dyDescent="0.3">
      <c r="A287">
        <v>2345</v>
      </c>
      <c r="B287">
        <v>1</v>
      </c>
      <c r="C287">
        <v>8</v>
      </c>
      <c r="D287">
        <v>9</v>
      </c>
      <c r="E287" s="1">
        <v>46080</v>
      </c>
      <c r="F287">
        <v>604.55999999999995</v>
      </c>
      <c r="G287">
        <v>77383.679999999993</v>
      </c>
      <c r="H287">
        <v>6</v>
      </c>
      <c r="I287">
        <v>6</v>
      </c>
    </row>
    <row r="288" spans="1:9" x14ac:dyDescent="0.3">
      <c r="A288">
        <v>2346</v>
      </c>
      <c r="B288">
        <v>16</v>
      </c>
      <c r="C288">
        <v>8</v>
      </c>
      <c r="D288">
        <v>9</v>
      </c>
      <c r="E288" s="1">
        <v>46079</v>
      </c>
      <c r="F288">
        <v>626.55999999999995</v>
      </c>
      <c r="G288">
        <v>80199.679999999993</v>
      </c>
      <c r="H288">
        <v>4</v>
      </c>
      <c r="I288">
        <v>6</v>
      </c>
    </row>
    <row r="289" spans="1:9" x14ac:dyDescent="0.3">
      <c r="A289">
        <v>2347</v>
      </c>
      <c r="B289">
        <v>2</v>
      </c>
      <c r="C289">
        <v>8</v>
      </c>
      <c r="D289">
        <v>9</v>
      </c>
      <c r="E289" s="1">
        <v>46061</v>
      </c>
      <c r="F289">
        <v>662.05</v>
      </c>
      <c r="G289">
        <v>84742.399999999994</v>
      </c>
      <c r="H289">
        <v>5</v>
      </c>
      <c r="I289">
        <v>6</v>
      </c>
    </row>
    <row r="290" spans="1:9" x14ac:dyDescent="0.3">
      <c r="A290">
        <v>2348</v>
      </c>
      <c r="B290">
        <v>24</v>
      </c>
      <c r="C290">
        <v>8</v>
      </c>
      <c r="D290">
        <v>9</v>
      </c>
      <c r="E290" s="1">
        <v>46086</v>
      </c>
      <c r="F290">
        <v>931.54</v>
      </c>
      <c r="G290">
        <v>119237.12</v>
      </c>
      <c r="H290">
        <v>4</v>
      </c>
      <c r="I290">
        <v>6</v>
      </c>
    </row>
    <row r="291" spans="1:9" x14ac:dyDescent="0.3">
      <c r="A291">
        <v>2349</v>
      </c>
      <c r="B291">
        <v>9</v>
      </c>
      <c r="C291">
        <v>8</v>
      </c>
      <c r="D291">
        <v>9</v>
      </c>
      <c r="E291" s="1">
        <v>46069</v>
      </c>
      <c r="F291">
        <v>144.87</v>
      </c>
      <c r="G291">
        <v>18543.36</v>
      </c>
      <c r="H291">
        <v>4</v>
      </c>
      <c r="I291">
        <v>6</v>
      </c>
    </row>
    <row r="292" spans="1:9" x14ac:dyDescent="0.3">
      <c r="A292">
        <v>2350</v>
      </c>
      <c r="B292">
        <v>18</v>
      </c>
      <c r="C292">
        <v>8</v>
      </c>
      <c r="D292">
        <v>9</v>
      </c>
      <c r="E292" s="1">
        <v>46047</v>
      </c>
      <c r="F292">
        <v>940.04</v>
      </c>
      <c r="G292">
        <v>120325.12</v>
      </c>
      <c r="H292">
        <v>4</v>
      </c>
      <c r="I292">
        <v>6</v>
      </c>
    </row>
    <row r="293" spans="1:9" x14ac:dyDescent="0.3">
      <c r="A293">
        <v>2351</v>
      </c>
      <c r="B293">
        <v>9</v>
      </c>
      <c r="C293">
        <v>8</v>
      </c>
      <c r="D293">
        <v>10</v>
      </c>
      <c r="E293" s="1">
        <v>46102</v>
      </c>
      <c r="F293">
        <v>669</v>
      </c>
      <c r="G293">
        <v>85632</v>
      </c>
      <c r="H293">
        <v>4</v>
      </c>
      <c r="I293">
        <v>6</v>
      </c>
    </row>
    <row r="294" spans="1:9" x14ac:dyDescent="0.3">
      <c r="A294">
        <v>2352</v>
      </c>
      <c r="B294">
        <v>18</v>
      </c>
      <c r="C294">
        <v>8</v>
      </c>
      <c r="D294">
        <v>10</v>
      </c>
      <c r="E294" s="1">
        <v>46103</v>
      </c>
      <c r="F294">
        <v>691.51</v>
      </c>
      <c r="G294">
        <v>88513.279999999999</v>
      </c>
      <c r="H294">
        <v>6</v>
      </c>
      <c r="I294">
        <v>6</v>
      </c>
    </row>
    <row r="295" spans="1:9" x14ac:dyDescent="0.3">
      <c r="A295">
        <v>2353</v>
      </c>
      <c r="B295">
        <v>8</v>
      </c>
      <c r="C295">
        <v>8</v>
      </c>
      <c r="D295">
        <v>10</v>
      </c>
      <c r="E295" s="1">
        <v>46104</v>
      </c>
      <c r="F295">
        <v>815.36</v>
      </c>
      <c r="G295">
        <v>104366.08</v>
      </c>
      <c r="H295">
        <v>7</v>
      </c>
      <c r="I295">
        <v>6</v>
      </c>
    </row>
    <row r="296" spans="1:9" x14ac:dyDescent="0.3">
      <c r="A296">
        <v>2354</v>
      </c>
      <c r="B296">
        <v>7</v>
      </c>
      <c r="C296">
        <v>8</v>
      </c>
      <c r="D296">
        <v>10</v>
      </c>
      <c r="E296" s="1">
        <v>46038</v>
      </c>
      <c r="F296">
        <v>949.48</v>
      </c>
      <c r="G296">
        <v>121533.44</v>
      </c>
      <c r="H296">
        <v>6</v>
      </c>
      <c r="I296">
        <v>6</v>
      </c>
    </row>
    <row r="297" spans="1:9" x14ac:dyDescent="0.3">
      <c r="A297">
        <v>2355</v>
      </c>
      <c r="B297">
        <v>8</v>
      </c>
      <c r="C297">
        <v>8</v>
      </c>
      <c r="D297">
        <v>10</v>
      </c>
      <c r="E297" s="1">
        <v>46033</v>
      </c>
      <c r="F297">
        <v>744.93</v>
      </c>
      <c r="G297">
        <v>95351.039999999994</v>
      </c>
      <c r="H297">
        <v>5</v>
      </c>
      <c r="I297">
        <v>6</v>
      </c>
    </row>
    <row r="298" spans="1:9" x14ac:dyDescent="0.3">
      <c r="A298">
        <v>2356</v>
      </c>
      <c r="B298">
        <v>18</v>
      </c>
      <c r="C298">
        <v>8</v>
      </c>
      <c r="D298">
        <v>10</v>
      </c>
      <c r="E298" s="1">
        <v>46026</v>
      </c>
      <c r="F298">
        <v>350.94</v>
      </c>
      <c r="G298">
        <v>44920.32</v>
      </c>
      <c r="H298">
        <v>4</v>
      </c>
      <c r="I298">
        <v>6</v>
      </c>
    </row>
    <row r="299" spans="1:9" x14ac:dyDescent="0.3">
      <c r="A299">
        <v>2357</v>
      </c>
      <c r="B299">
        <v>7</v>
      </c>
      <c r="C299">
        <v>8</v>
      </c>
      <c r="D299">
        <v>10</v>
      </c>
      <c r="E299" s="1">
        <v>46105</v>
      </c>
      <c r="F299">
        <v>844.18</v>
      </c>
      <c r="G299">
        <v>108055.03999999999</v>
      </c>
      <c r="H299">
        <v>9</v>
      </c>
      <c r="I299">
        <v>6</v>
      </c>
    </row>
    <row r="300" spans="1:9" x14ac:dyDescent="0.3">
      <c r="A300">
        <v>2358</v>
      </c>
      <c r="B300">
        <v>16</v>
      </c>
      <c r="C300">
        <v>8</v>
      </c>
      <c r="D300">
        <v>10</v>
      </c>
      <c r="E300" s="1">
        <v>46109</v>
      </c>
      <c r="F300">
        <v>127.56</v>
      </c>
      <c r="G300">
        <v>16327.68</v>
      </c>
      <c r="H300">
        <v>4</v>
      </c>
      <c r="I300">
        <v>6</v>
      </c>
    </row>
    <row r="301" spans="1:9" x14ac:dyDescent="0.3">
      <c r="A301">
        <v>2359</v>
      </c>
      <c r="B301">
        <v>4</v>
      </c>
      <c r="C301">
        <v>9</v>
      </c>
      <c r="D301">
        <v>1</v>
      </c>
      <c r="E301" s="1">
        <v>46038</v>
      </c>
      <c r="F301">
        <v>744.77</v>
      </c>
      <c r="G301">
        <v>58389.97</v>
      </c>
      <c r="H301">
        <v>6</v>
      </c>
      <c r="I301">
        <v>6</v>
      </c>
    </row>
    <row r="302" spans="1:9" x14ac:dyDescent="0.3">
      <c r="A302">
        <v>2360</v>
      </c>
      <c r="B302">
        <v>4</v>
      </c>
      <c r="C302">
        <v>9</v>
      </c>
      <c r="D302">
        <v>1</v>
      </c>
      <c r="E302" s="1">
        <v>46110</v>
      </c>
      <c r="F302">
        <v>857.76</v>
      </c>
      <c r="G302">
        <v>67248.38</v>
      </c>
      <c r="H302">
        <v>5</v>
      </c>
      <c r="I302">
        <v>6</v>
      </c>
    </row>
    <row r="303" spans="1:9" x14ac:dyDescent="0.3">
      <c r="A303">
        <v>2361</v>
      </c>
      <c r="B303">
        <v>21</v>
      </c>
      <c r="C303">
        <v>9</v>
      </c>
      <c r="D303">
        <v>1</v>
      </c>
      <c r="E303" s="1">
        <v>46034</v>
      </c>
      <c r="F303">
        <v>573.61</v>
      </c>
      <c r="G303">
        <v>44971.02</v>
      </c>
      <c r="H303">
        <v>6</v>
      </c>
      <c r="I303">
        <v>6</v>
      </c>
    </row>
    <row r="304" spans="1:9" x14ac:dyDescent="0.3">
      <c r="A304">
        <v>2362</v>
      </c>
      <c r="B304">
        <v>1</v>
      </c>
      <c r="C304">
        <v>9</v>
      </c>
      <c r="D304">
        <v>1</v>
      </c>
      <c r="E304" s="1">
        <v>46072</v>
      </c>
      <c r="F304">
        <v>517.25</v>
      </c>
      <c r="G304">
        <v>40552.400000000001</v>
      </c>
      <c r="H304">
        <v>8</v>
      </c>
      <c r="I304">
        <v>6</v>
      </c>
    </row>
    <row r="305" spans="1:9" x14ac:dyDescent="0.3">
      <c r="A305">
        <v>2363</v>
      </c>
      <c r="B305">
        <v>1</v>
      </c>
      <c r="C305">
        <v>9</v>
      </c>
      <c r="D305">
        <v>1</v>
      </c>
      <c r="E305" s="1">
        <v>46064</v>
      </c>
      <c r="F305">
        <v>205.78</v>
      </c>
      <c r="G305">
        <v>16133.15</v>
      </c>
      <c r="H305">
        <v>6</v>
      </c>
      <c r="I305">
        <v>6</v>
      </c>
    </row>
    <row r="306" spans="1:9" x14ac:dyDescent="0.3">
      <c r="A306">
        <v>2364</v>
      </c>
      <c r="B306">
        <v>2</v>
      </c>
      <c r="C306">
        <v>9</v>
      </c>
      <c r="D306">
        <v>2</v>
      </c>
      <c r="E306" s="1">
        <v>46078</v>
      </c>
      <c r="F306">
        <v>785.52</v>
      </c>
      <c r="G306">
        <v>61584.77</v>
      </c>
      <c r="H306">
        <v>3</v>
      </c>
      <c r="I306">
        <v>4</v>
      </c>
    </row>
    <row r="307" spans="1:9" x14ac:dyDescent="0.3">
      <c r="A307">
        <v>2365</v>
      </c>
      <c r="B307">
        <v>12</v>
      </c>
      <c r="C307">
        <v>9</v>
      </c>
      <c r="D307">
        <v>2</v>
      </c>
      <c r="E307" s="1">
        <v>46065</v>
      </c>
      <c r="F307">
        <v>147.76</v>
      </c>
      <c r="G307">
        <v>11584.38</v>
      </c>
      <c r="H307">
        <v>2</v>
      </c>
      <c r="I307">
        <v>4</v>
      </c>
    </row>
    <row r="308" spans="1:9" x14ac:dyDescent="0.3">
      <c r="A308">
        <v>2366</v>
      </c>
      <c r="B308">
        <v>25</v>
      </c>
      <c r="C308">
        <v>9</v>
      </c>
      <c r="D308">
        <v>2</v>
      </c>
      <c r="E308" s="1">
        <v>46110</v>
      </c>
      <c r="F308">
        <v>423.08</v>
      </c>
      <c r="G308">
        <v>33169.47</v>
      </c>
      <c r="H308">
        <v>7</v>
      </c>
      <c r="I308">
        <v>4</v>
      </c>
    </row>
    <row r="309" spans="1:9" x14ac:dyDescent="0.3">
      <c r="A309">
        <v>2367</v>
      </c>
      <c r="B309">
        <v>2</v>
      </c>
      <c r="C309">
        <v>9</v>
      </c>
      <c r="D309">
        <v>3</v>
      </c>
      <c r="E309" s="1">
        <v>46041</v>
      </c>
      <c r="F309">
        <v>363.81</v>
      </c>
      <c r="G309">
        <v>28522.7</v>
      </c>
      <c r="H309">
        <v>3</v>
      </c>
      <c r="I309">
        <v>4</v>
      </c>
    </row>
    <row r="310" spans="1:9" x14ac:dyDescent="0.3">
      <c r="A310">
        <v>2368</v>
      </c>
      <c r="B310">
        <v>23</v>
      </c>
      <c r="C310">
        <v>9</v>
      </c>
      <c r="D310">
        <v>4</v>
      </c>
      <c r="E310" s="1">
        <v>46030</v>
      </c>
      <c r="F310">
        <v>346.13</v>
      </c>
      <c r="G310">
        <v>27136.59</v>
      </c>
      <c r="H310">
        <v>4</v>
      </c>
      <c r="I310">
        <v>6</v>
      </c>
    </row>
    <row r="311" spans="1:9" x14ac:dyDescent="0.3">
      <c r="A311">
        <v>2369</v>
      </c>
      <c r="B311">
        <v>2</v>
      </c>
      <c r="C311">
        <v>9</v>
      </c>
      <c r="D311">
        <v>4</v>
      </c>
      <c r="E311" s="1">
        <v>46064</v>
      </c>
      <c r="F311">
        <v>450.59</v>
      </c>
      <c r="G311">
        <v>35326.26</v>
      </c>
      <c r="H311">
        <v>9</v>
      </c>
      <c r="I311">
        <v>6</v>
      </c>
    </row>
    <row r="312" spans="1:9" x14ac:dyDescent="0.3">
      <c r="A312">
        <v>2370</v>
      </c>
      <c r="B312">
        <v>9</v>
      </c>
      <c r="C312">
        <v>9</v>
      </c>
      <c r="D312">
        <v>4</v>
      </c>
      <c r="E312" s="1">
        <v>46076</v>
      </c>
      <c r="F312">
        <v>145.80000000000001</v>
      </c>
      <c r="G312">
        <v>11430.72</v>
      </c>
      <c r="H312">
        <v>7</v>
      </c>
      <c r="I312">
        <v>6</v>
      </c>
    </row>
    <row r="313" spans="1:9" x14ac:dyDescent="0.3">
      <c r="A313">
        <v>2371</v>
      </c>
      <c r="B313">
        <v>24</v>
      </c>
      <c r="C313">
        <v>9</v>
      </c>
      <c r="D313">
        <v>5</v>
      </c>
      <c r="E313" s="1">
        <v>46045</v>
      </c>
      <c r="F313">
        <v>923.27</v>
      </c>
      <c r="G313">
        <v>72384.37</v>
      </c>
      <c r="H313">
        <v>6</v>
      </c>
      <c r="I313">
        <v>6</v>
      </c>
    </row>
    <row r="314" spans="1:9" x14ac:dyDescent="0.3">
      <c r="A314">
        <v>2372</v>
      </c>
      <c r="B314">
        <v>7</v>
      </c>
      <c r="C314">
        <v>9</v>
      </c>
      <c r="D314">
        <v>5</v>
      </c>
      <c r="E314" s="1">
        <v>46043</v>
      </c>
      <c r="F314">
        <v>888.29</v>
      </c>
      <c r="G314">
        <v>69641.94</v>
      </c>
      <c r="H314">
        <v>6</v>
      </c>
      <c r="I314">
        <v>6</v>
      </c>
    </row>
    <row r="315" spans="1:9" x14ac:dyDescent="0.3">
      <c r="A315">
        <v>2373</v>
      </c>
      <c r="B315">
        <v>15</v>
      </c>
      <c r="C315">
        <v>9</v>
      </c>
      <c r="D315">
        <v>6</v>
      </c>
      <c r="E315" s="1">
        <v>46084</v>
      </c>
      <c r="F315">
        <v>839.36</v>
      </c>
      <c r="G315">
        <v>65805.820000000007</v>
      </c>
      <c r="H315">
        <v>5</v>
      </c>
      <c r="I315">
        <v>6</v>
      </c>
    </row>
    <row r="316" spans="1:9" x14ac:dyDescent="0.3">
      <c r="A316">
        <v>2374</v>
      </c>
      <c r="B316">
        <v>6</v>
      </c>
      <c r="C316">
        <v>9</v>
      </c>
      <c r="D316">
        <v>6</v>
      </c>
      <c r="E316" s="1">
        <v>46091</v>
      </c>
      <c r="F316">
        <v>264.45</v>
      </c>
      <c r="G316">
        <v>20732.88</v>
      </c>
      <c r="H316">
        <v>5</v>
      </c>
      <c r="I316">
        <v>6</v>
      </c>
    </row>
    <row r="317" spans="1:9" x14ac:dyDescent="0.3">
      <c r="A317">
        <v>2375</v>
      </c>
      <c r="B317">
        <v>15</v>
      </c>
      <c r="C317">
        <v>9</v>
      </c>
      <c r="D317">
        <v>6</v>
      </c>
      <c r="E317" s="1">
        <v>46096</v>
      </c>
      <c r="F317">
        <v>481.5</v>
      </c>
      <c r="G317">
        <v>37749.599999999999</v>
      </c>
      <c r="H317">
        <v>7</v>
      </c>
      <c r="I317">
        <v>6</v>
      </c>
    </row>
    <row r="318" spans="1:9" x14ac:dyDescent="0.3">
      <c r="A318">
        <v>2376</v>
      </c>
      <c r="B318">
        <v>23</v>
      </c>
      <c r="C318">
        <v>9</v>
      </c>
      <c r="D318">
        <v>6</v>
      </c>
      <c r="E318" s="1">
        <v>46108</v>
      </c>
      <c r="F318">
        <v>994.13</v>
      </c>
      <c r="G318">
        <v>77939.789999999994</v>
      </c>
      <c r="H318">
        <v>6</v>
      </c>
      <c r="I318">
        <v>6</v>
      </c>
    </row>
    <row r="319" spans="1:9" x14ac:dyDescent="0.3">
      <c r="A319">
        <v>2377</v>
      </c>
      <c r="B319">
        <v>15</v>
      </c>
      <c r="C319">
        <v>9</v>
      </c>
      <c r="D319">
        <v>6</v>
      </c>
      <c r="E319" s="1">
        <v>46102</v>
      </c>
      <c r="F319">
        <v>724.79</v>
      </c>
      <c r="G319">
        <v>56823.54</v>
      </c>
      <c r="H319">
        <v>6</v>
      </c>
      <c r="I319">
        <v>6</v>
      </c>
    </row>
    <row r="320" spans="1:9" x14ac:dyDescent="0.3">
      <c r="A320">
        <v>2378</v>
      </c>
      <c r="B320">
        <v>14</v>
      </c>
      <c r="C320">
        <v>9</v>
      </c>
      <c r="D320">
        <v>7</v>
      </c>
      <c r="E320" s="1">
        <v>46068</v>
      </c>
      <c r="F320">
        <v>480.9</v>
      </c>
      <c r="G320">
        <v>37702.559999999998</v>
      </c>
      <c r="H320">
        <v>4</v>
      </c>
      <c r="I320">
        <v>4</v>
      </c>
    </row>
    <row r="321" spans="1:9" x14ac:dyDescent="0.3">
      <c r="A321">
        <v>2379</v>
      </c>
      <c r="B321">
        <v>13</v>
      </c>
      <c r="C321">
        <v>9</v>
      </c>
      <c r="D321">
        <v>7</v>
      </c>
      <c r="E321" s="1">
        <v>46038</v>
      </c>
      <c r="F321">
        <v>111.69</v>
      </c>
      <c r="G321">
        <v>8756.5</v>
      </c>
      <c r="H321">
        <v>4</v>
      </c>
      <c r="I321">
        <v>4</v>
      </c>
    </row>
    <row r="322" spans="1:9" x14ac:dyDescent="0.3">
      <c r="A322">
        <v>2380</v>
      </c>
      <c r="B322">
        <v>23</v>
      </c>
      <c r="C322">
        <v>9</v>
      </c>
      <c r="D322">
        <v>7</v>
      </c>
      <c r="E322" s="1">
        <v>46054</v>
      </c>
      <c r="F322">
        <v>749.2</v>
      </c>
      <c r="G322">
        <v>58737.279999999999</v>
      </c>
      <c r="H322">
        <v>4</v>
      </c>
      <c r="I322">
        <v>4</v>
      </c>
    </row>
    <row r="323" spans="1:9" x14ac:dyDescent="0.3">
      <c r="A323">
        <v>2381</v>
      </c>
      <c r="B323">
        <v>15</v>
      </c>
      <c r="C323">
        <v>9</v>
      </c>
      <c r="D323">
        <v>7</v>
      </c>
      <c r="E323" s="1">
        <v>46026</v>
      </c>
      <c r="F323">
        <v>445.5</v>
      </c>
      <c r="G323">
        <v>34927.199999999997</v>
      </c>
      <c r="H323">
        <v>3</v>
      </c>
      <c r="I323">
        <v>4</v>
      </c>
    </row>
    <row r="324" spans="1:9" x14ac:dyDescent="0.3">
      <c r="A324">
        <v>2382</v>
      </c>
      <c r="B324">
        <v>6</v>
      </c>
      <c r="C324">
        <v>9</v>
      </c>
      <c r="D324">
        <v>7</v>
      </c>
      <c r="E324" s="1">
        <v>46055</v>
      </c>
      <c r="F324">
        <v>803.52</v>
      </c>
      <c r="G324">
        <v>62995.97</v>
      </c>
      <c r="H324">
        <v>6</v>
      </c>
      <c r="I324">
        <v>4</v>
      </c>
    </row>
    <row r="325" spans="1:9" x14ac:dyDescent="0.3">
      <c r="A325">
        <v>2383</v>
      </c>
      <c r="B325">
        <v>6</v>
      </c>
      <c r="C325">
        <v>9</v>
      </c>
      <c r="D325">
        <v>7</v>
      </c>
      <c r="E325" s="1">
        <v>46026</v>
      </c>
      <c r="F325">
        <v>462.33</v>
      </c>
      <c r="G325">
        <v>36246.67</v>
      </c>
      <c r="H325">
        <v>2</v>
      </c>
      <c r="I325">
        <v>4</v>
      </c>
    </row>
    <row r="326" spans="1:9" x14ac:dyDescent="0.3">
      <c r="A326">
        <v>2384</v>
      </c>
      <c r="B326">
        <v>13</v>
      </c>
      <c r="C326">
        <v>9</v>
      </c>
      <c r="D326">
        <v>7</v>
      </c>
      <c r="E326" s="1">
        <v>46057</v>
      </c>
      <c r="F326">
        <v>963.54</v>
      </c>
      <c r="G326">
        <v>75541.539999999994</v>
      </c>
      <c r="H326">
        <v>4</v>
      </c>
      <c r="I326">
        <v>4</v>
      </c>
    </row>
    <row r="327" spans="1:9" x14ac:dyDescent="0.3">
      <c r="A327">
        <v>2385</v>
      </c>
      <c r="B327">
        <v>14</v>
      </c>
      <c r="C327">
        <v>9</v>
      </c>
      <c r="D327">
        <v>7</v>
      </c>
      <c r="E327" s="1">
        <v>46068</v>
      </c>
      <c r="F327">
        <v>492.01</v>
      </c>
      <c r="G327">
        <v>38573.58</v>
      </c>
      <c r="H327">
        <v>5</v>
      </c>
      <c r="I327">
        <v>4</v>
      </c>
    </row>
    <row r="328" spans="1:9" x14ac:dyDescent="0.3">
      <c r="A328">
        <v>2386</v>
      </c>
      <c r="B328">
        <v>7</v>
      </c>
      <c r="C328">
        <v>9</v>
      </c>
      <c r="D328">
        <v>7</v>
      </c>
      <c r="E328" s="1">
        <v>46026</v>
      </c>
      <c r="F328">
        <v>421.06</v>
      </c>
      <c r="G328">
        <v>33011.1</v>
      </c>
      <c r="H328">
        <v>2</v>
      </c>
      <c r="I328">
        <v>4</v>
      </c>
    </row>
    <row r="329" spans="1:9" x14ac:dyDescent="0.3">
      <c r="A329">
        <v>2387</v>
      </c>
      <c r="B329">
        <v>23</v>
      </c>
      <c r="C329">
        <v>9</v>
      </c>
      <c r="D329">
        <v>7</v>
      </c>
      <c r="E329" s="1">
        <v>46042</v>
      </c>
      <c r="F329">
        <v>206.7</v>
      </c>
      <c r="G329">
        <v>16205.28</v>
      </c>
      <c r="H329">
        <v>2</v>
      </c>
      <c r="I329">
        <v>4</v>
      </c>
    </row>
    <row r="330" spans="1:9" x14ac:dyDescent="0.3">
      <c r="A330">
        <v>2388</v>
      </c>
      <c r="B330">
        <v>6</v>
      </c>
      <c r="C330">
        <v>9</v>
      </c>
      <c r="D330">
        <v>7</v>
      </c>
      <c r="E330" s="1">
        <v>46066</v>
      </c>
      <c r="F330">
        <v>422.82</v>
      </c>
      <c r="G330">
        <v>33149.089999999997</v>
      </c>
      <c r="H330">
        <v>3</v>
      </c>
      <c r="I330">
        <v>4</v>
      </c>
    </row>
    <row r="331" spans="1:9" x14ac:dyDescent="0.3">
      <c r="A331">
        <v>2389</v>
      </c>
      <c r="B331">
        <v>23</v>
      </c>
      <c r="C331">
        <v>9</v>
      </c>
      <c r="D331">
        <v>8</v>
      </c>
      <c r="E331" s="1">
        <v>46083</v>
      </c>
      <c r="F331">
        <v>209.78</v>
      </c>
      <c r="G331">
        <v>16446.75</v>
      </c>
      <c r="H331">
        <v>4</v>
      </c>
      <c r="I331">
        <v>4</v>
      </c>
    </row>
    <row r="332" spans="1:9" x14ac:dyDescent="0.3">
      <c r="A332">
        <v>2390</v>
      </c>
      <c r="B332">
        <v>22</v>
      </c>
      <c r="C332">
        <v>9</v>
      </c>
      <c r="D332">
        <v>9</v>
      </c>
      <c r="E332" s="1">
        <v>46025</v>
      </c>
      <c r="F332">
        <v>726.09</v>
      </c>
      <c r="G332">
        <v>56925.46</v>
      </c>
      <c r="H332">
        <v>8</v>
      </c>
      <c r="I332">
        <v>6</v>
      </c>
    </row>
    <row r="333" spans="1:9" x14ac:dyDescent="0.3">
      <c r="A333">
        <v>2391</v>
      </c>
      <c r="B333">
        <v>20</v>
      </c>
      <c r="C333">
        <v>9</v>
      </c>
      <c r="D333">
        <v>9</v>
      </c>
      <c r="E333" s="1">
        <v>46056</v>
      </c>
      <c r="F333">
        <v>352.17</v>
      </c>
      <c r="G333">
        <v>27610.13</v>
      </c>
      <c r="H333">
        <v>4</v>
      </c>
      <c r="I333">
        <v>6</v>
      </c>
    </row>
    <row r="334" spans="1:9" x14ac:dyDescent="0.3">
      <c r="A334">
        <v>2392</v>
      </c>
      <c r="B334">
        <v>3</v>
      </c>
      <c r="C334">
        <v>9</v>
      </c>
      <c r="D334">
        <v>9</v>
      </c>
      <c r="E334" s="1">
        <v>46075</v>
      </c>
      <c r="F334">
        <v>296.62</v>
      </c>
      <c r="G334">
        <v>23255.01</v>
      </c>
      <c r="H334">
        <v>9</v>
      </c>
      <c r="I334">
        <v>6</v>
      </c>
    </row>
    <row r="335" spans="1:9" x14ac:dyDescent="0.3">
      <c r="A335">
        <v>2393</v>
      </c>
      <c r="B335">
        <v>13</v>
      </c>
      <c r="C335">
        <v>9</v>
      </c>
      <c r="D335">
        <v>10</v>
      </c>
      <c r="E335" s="1">
        <v>46074</v>
      </c>
      <c r="F335">
        <v>164.87</v>
      </c>
      <c r="G335">
        <v>12925.81</v>
      </c>
      <c r="H335">
        <v>8</v>
      </c>
      <c r="I335">
        <v>6</v>
      </c>
    </row>
    <row r="336" spans="1:9" x14ac:dyDescent="0.3">
      <c r="A336">
        <v>2394</v>
      </c>
      <c r="B336">
        <v>12</v>
      </c>
      <c r="C336">
        <v>9</v>
      </c>
      <c r="D336">
        <v>10</v>
      </c>
      <c r="E336" s="1">
        <v>46086</v>
      </c>
      <c r="F336">
        <v>734.26</v>
      </c>
      <c r="G336">
        <v>57565.98</v>
      </c>
      <c r="H336">
        <v>4</v>
      </c>
      <c r="I336">
        <v>6</v>
      </c>
    </row>
    <row r="337" spans="1:9" x14ac:dyDescent="0.3">
      <c r="A337">
        <v>2395</v>
      </c>
      <c r="B337">
        <v>2</v>
      </c>
      <c r="C337">
        <v>9</v>
      </c>
      <c r="D337">
        <v>10</v>
      </c>
      <c r="E337" s="1">
        <v>46111</v>
      </c>
      <c r="F337">
        <v>979.32</v>
      </c>
      <c r="G337">
        <v>76778.69</v>
      </c>
      <c r="H337">
        <v>4</v>
      </c>
      <c r="I337">
        <v>6</v>
      </c>
    </row>
    <row r="338" spans="1:9" x14ac:dyDescent="0.3">
      <c r="A338">
        <v>2396</v>
      </c>
      <c r="B338">
        <v>4</v>
      </c>
      <c r="C338">
        <v>9</v>
      </c>
      <c r="D338">
        <v>10</v>
      </c>
      <c r="E338" s="1">
        <v>46105</v>
      </c>
      <c r="F338">
        <v>642.66</v>
      </c>
      <c r="G338">
        <v>50384.54</v>
      </c>
      <c r="H338">
        <v>5</v>
      </c>
      <c r="I338">
        <v>6</v>
      </c>
    </row>
    <row r="339" spans="1:9" x14ac:dyDescent="0.3">
      <c r="A339">
        <v>2397</v>
      </c>
      <c r="B339">
        <v>21</v>
      </c>
      <c r="C339">
        <v>10</v>
      </c>
      <c r="D339">
        <v>1</v>
      </c>
      <c r="E339" s="1">
        <v>46033</v>
      </c>
      <c r="F339">
        <v>493.69</v>
      </c>
      <c r="G339">
        <v>469005.5</v>
      </c>
      <c r="H339">
        <v>4</v>
      </c>
      <c r="I339">
        <v>6</v>
      </c>
    </row>
    <row r="340" spans="1:9" x14ac:dyDescent="0.3">
      <c r="A340">
        <v>2398</v>
      </c>
      <c r="B340">
        <v>13</v>
      </c>
      <c r="C340">
        <v>10</v>
      </c>
      <c r="D340">
        <v>1</v>
      </c>
      <c r="E340" s="1">
        <v>46034</v>
      </c>
      <c r="F340">
        <v>523.82000000000005</v>
      </c>
      <c r="G340">
        <v>497629</v>
      </c>
      <c r="H340">
        <v>5</v>
      </c>
      <c r="I340">
        <v>6</v>
      </c>
    </row>
    <row r="341" spans="1:9" x14ac:dyDescent="0.3">
      <c r="A341">
        <v>2399</v>
      </c>
      <c r="B341">
        <v>24</v>
      </c>
      <c r="C341">
        <v>10</v>
      </c>
      <c r="D341">
        <v>1</v>
      </c>
      <c r="E341" s="1">
        <v>46096</v>
      </c>
      <c r="F341">
        <v>107.74</v>
      </c>
      <c r="G341">
        <v>102353</v>
      </c>
      <c r="H341">
        <v>6</v>
      </c>
      <c r="I341">
        <v>6</v>
      </c>
    </row>
    <row r="342" spans="1:9" x14ac:dyDescent="0.3">
      <c r="A342">
        <v>2400</v>
      </c>
      <c r="B342">
        <v>6</v>
      </c>
      <c r="C342">
        <v>10</v>
      </c>
      <c r="D342">
        <v>1</v>
      </c>
      <c r="E342" s="1">
        <v>46036</v>
      </c>
      <c r="F342">
        <v>524.04999999999995</v>
      </c>
      <c r="G342">
        <v>497847.5</v>
      </c>
      <c r="H342">
        <v>4</v>
      </c>
      <c r="I342">
        <v>6</v>
      </c>
    </row>
    <row r="343" spans="1:9" x14ac:dyDescent="0.3">
      <c r="A343">
        <v>2401</v>
      </c>
      <c r="B343">
        <v>23</v>
      </c>
      <c r="C343">
        <v>10</v>
      </c>
      <c r="D343">
        <v>1</v>
      </c>
      <c r="E343" s="1">
        <v>46041</v>
      </c>
      <c r="F343">
        <v>774.67</v>
      </c>
      <c r="G343">
        <v>735936.5</v>
      </c>
      <c r="H343">
        <v>5</v>
      </c>
      <c r="I343">
        <v>6</v>
      </c>
    </row>
    <row r="344" spans="1:9" x14ac:dyDescent="0.3">
      <c r="A344">
        <v>2402</v>
      </c>
      <c r="B344">
        <v>5</v>
      </c>
      <c r="C344">
        <v>10</v>
      </c>
      <c r="D344">
        <v>1</v>
      </c>
      <c r="E344" s="1">
        <v>46042</v>
      </c>
      <c r="F344">
        <v>889</v>
      </c>
      <c r="G344">
        <v>844550</v>
      </c>
      <c r="H344">
        <v>4</v>
      </c>
      <c r="I344">
        <v>6</v>
      </c>
    </row>
    <row r="345" spans="1:9" x14ac:dyDescent="0.3">
      <c r="A345">
        <v>2403</v>
      </c>
      <c r="B345">
        <v>3</v>
      </c>
      <c r="C345">
        <v>10</v>
      </c>
      <c r="D345">
        <v>2</v>
      </c>
      <c r="E345" s="1">
        <v>46096</v>
      </c>
      <c r="F345">
        <v>560.99</v>
      </c>
      <c r="G345">
        <v>532940.5</v>
      </c>
      <c r="H345">
        <v>2</v>
      </c>
      <c r="I345">
        <v>4</v>
      </c>
    </row>
    <row r="346" spans="1:9" x14ac:dyDescent="0.3">
      <c r="A346">
        <v>2404</v>
      </c>
      <c r="B346">
        <v>4</v>
      </c>
      <c r="C346">
        <v>10</v>
      </c>
      <c r="D346">
        <v>2</v>
      </c>
      <c r="E346" s="1">
        <v>46083</v>
      </c>
      <c r="F346">
        <v>872.74</v>
      </c>
      <c r="G346">
        <v>829103</v>
      </c>
      <c r="H346">
        <v>2</v>
      </c>
      <c r="I346">
        <v>4</v>
      </c>
    </row>
    <row r="347" spans="1:9" x14ac:dyDescent="0.3">
      <c r="A347">
        <v>2405</v>
      </c>
      <c r="B347">
        <v>5</v>
      </c>
      <c r="C347">
        <v>10</v>
      </c>
      <c r="D347">
        <v>2</v>
      </c>
      <c r="E347" s="1">
        <v>46054</v>
      </c>
      <c r="F347">
        <v>457.77</v>
      </c>
      <c r="G347">
        <v>434881.5</v>
      </c>
      <c r="H347">
        <v>7</v>
      </c>
      <c r="I347">
        <v>4</v>
      </c>
    </row>
    <row r="348" spans="1:9" x14ac:dyDescent="0.3">
      <c r="A348">
        <v>2406</v>
      </c>
      <c r="B348">
        <v>15</v>
      </c>
      <c r="C348">
        <v>10</v>
      </c>
      <c r="D348">
        <v>2</v>
      </c>
      <c r="E348" s="1">
        <v>46057</v>
      </c>
      <c r="F348">
        <v>547.63</v>
      </c>
      <c r="G348">
        <v>520248.5</v>
      </c>
      <c r="H348">
        <v>2</v>
      </c>
      <c r="I348">
        <v>4</v>
      </c>
    </row>
    <row r="349" spans="1:9" x14ac:dyDescent="0.3">
      <c r="A349">
        <v>2407</v>
      </c>
      <c r="B349">
        <v>13</v>
      </c>
      <c r="C349">
        <v>10</v>
      </c>
      <c r="D349">
        <v>2</v>
      </c>
      <c r="E349" s="1">
        <v>46077</v>
      </c>
      <c r="F349">
        <v>581.65</v>
      </c>
      <c r="G349">
        <v>552567.5</v>
      </c>
      <c r="H349">
        <v>4</v>
      </c>
      <c r="I349">
        <v>4</v>
      </c>
    </row>
    <row r="350" spans="1:9" x14ac:dyDescent="0.3">
      <c r="A350">
        <v>2408</v>
      </c>
      <c r="B350">
        <v>22</v>
      </c>
      <c r="C350">
        <v>10</v>
      </c>
      <c r="D350">
        <v>2</v>
      </c>
      <c r="E350" s="1">
        <v>46063</v>
      </c>
      <c r="F350">
        <v>866.28</v>
      </c>
      <c r="G350">
        <v>822966</v>
      </c>
      <c r="H350">
        <v>2</v>
      </c>
      <c r="I350">
        <v>4</v>
      </c>
    </row>
    <row r="351" spans="1:9" x14ac:dyDescent="0.3">
      <c r="A351">
        <v>2409</v>
      </c>
      <c r="B351">
        <v>20</v>
      </c>
      <c r="C351">
        <v>10</v>
      </c>
      <c r="D351">
        <v>2</v>
      </c>
      <c r="E351" s="1">
        <v>46098</v>
      </c>
      <c r="F351">
        <v>676.43</v>
      </c>
      <c r="G351">
        <v>642608.5</v>
      </c>
      <c r="H351">
        <v>4</v>
      </c>
      <c r="I351">
        <v>4</v>
      </c>
    </row>
    <row r="352" spans="1:9" x14ac:dyDescent="0.3">
      <c r="A352">
        <v>2410</v>
      </c>
      <c r="B352">
        <v>13</v>
      </c>
      <c r="C352">
        <v>10</v>
      </c>
      <c r="D352">
        <v>2</v>
      </c>
      <c r="E352" s="1">
        <v>46065</v>
      </c>
      <c r="F352">
        <v>992.04</v>
      </c>
      <c r="G352">
        <v>942438</v>
      </c>
      <c r="H352">
        <v>3</v>
      </c>
      <c r="I352">
        <v>4</v>
      </c>
    </row>
    <row r="353" spans="1:9" x14ac:dyDescent="0.3">
      <c r="A353">
        <v>2411</v>
      </c>
      <c r="B353">
        <v>11</v>
      </c>
      <c r="C353">
        <v>10</v>
      </c>
      <c r="D353">
        <v>3</v>
      </c>
      <c r="E353" s="1">
        <v>46055</v>
      </c>
      <c r="F353">
        <v>910.59</v>
      </c>
      <c r="G353">
        <v>865060.5</v>
      </c>
      <c r="H353">
        <v>7</v>
      </c>
      <c r="I353">
        <v>4</v>
      </c>
    </row>
    <row r="354" spans="1:9" x14ac:dyDescent="0.3">
      <c r="A354">
        <v>2412</v>
      </c>
      <c r="B354">
        <v>4</v>
      </c>
      <c r="C354">
        <v>10</v>
      </c>
      <c r="D354">
        <v>3</v>
      </c>
      <c r="E354" s="1">
        <v>46039</v>
      </c>
      <c r="F354">
        <v>172.16</v>
      </c>
      <c r="G354">
        <v>163552</v>
      </c>
      <c r="H354">
        <v>2</v>
      </c>
      <c r="I354">
        <v>4</v>
      </c>
    </row>
    <row r="355" spans="1:9" x14ac:dyDescent="0.3">
      <c r="A355">
        <v>2413</v>
      </c>
      <c r="B355">
        <v>19</v>
      </c>
      <c r="C355">
        <v>10</v>
      </c>
      <c r="D355">
        <v>4</v>
      </c>
      <c r="E355" s="1">
        <v>46084</v>
      </c>
      <c r="F355">
        <v>370.21</v>
      </c>
      <c r="G355">
        <v>351699.5</v>
      </c>
      <c r="H355">
        <v>5</v>
      </c>
      <c r="I355">
        <v>6</v>
      </c>
    </row>
    <row r="356" spans="1:9" x14ac:dyDescent="0.3">
      <c r="A356">
        <v>2414</v>
      </c>
      <c r="B356">
        <v>12</v>
      </c>
      <c r="C356">
        <v>10</v>
      </c>
      <c r="D356">
        <v>4</v>
      </c>
      <c r="E356" s="1">
        <v>46049</v>
      </c>
      <c r="F356">
        <v>576.54999999999995</v>
      </c>
      <c r="G356">
        <v>547722.5</v>
      </c>
      <c r="H356">
        <v>6</v>
      </c>
      <c r="I356">
        <v>6</v>
      </c>
    </row>
    <row r="357" spans="1:9" x14ac:dyDescent="0.3">
      <c r="A357">
        <v>2415</v>
      </c>
      <c r="B357">
        <v>3</v>
      </c>
      <c r="C357">
        <v>10</v>
      </c>
      <c r="D357">
        <v>4</v>
      </c>
      <c r="E357" s="1">
        <v>46088</v>
      </c>
      <c r="F357">
        <v>530.63</v>
      </c>
      <c r="G357">
        <v>504098.5</v>
      </c>
      <c r="H357">
        <v>5</v>
      </c>
      <c r="I357">
        <v>6</v>
      </c>
    </row>
    <row r="358" spans="1:9" x14ac:dyDescent="0.3">
      <c r="A358">
        <v>2416</v>
      </c>
      <c r="B358">
        <v>10</v>
      </c>
      <c r="C358">
        <v>10</v>
      </c>
      <c r="D358">
        <v>5</v>
      </c>
      <c r="E358" s="1">
        <v>46029</v>
      </c>
      <c r="F358">
        <v>143.44999999999999</v>
      </c>
      <c r="G358">
        <v>136277.5</v>
      </c>
      <c r="H358">
        <v>4</v>
      </c>
      <c r="I358">
        <v>6</v>
      </c>
    </row>
    <row r="359" spans="1:9" x14ac:dyDescent="0.3">
      <c r="A359">
        <v>2417</v>
      </c>
      <c r="B359">
        <v>19</v>
      </c>
      <c r="C359">
        <v>10</v>
      </c>
      <c r="D359">
        <v>5</v>
      </c>
      <c r="E359" s="1">
        <v>46035</v>
      </c>
      <c r="F359">
        <v>376.98</v>
      </c>
      <c r="G359">
        <v>358131</v>
      </c>
      <c r="H359">
        <v>4</v>
      </c>
      <c r="I359">
        <v>6</v>
      </c>
    </row>
    <row r="360" spans="1:9" x14ac:dyDescent="0.3">
      <c r="A360">
        <v>2418</v>
      </c>
      <c r="B360">
        <v>10</v>
      </c>
      <c r="C360">
        <v>10</v>
      </c>
      <c r="D360">
        <v>5</v>
      </c>
      <c r="E360" s="1">
        <v>46028</v>
      </c>
      <c r="F360">
        <v>976.84</v>
      </c>
      <c r="G360">
        <v>927998</v>
      </c>
      <c r="H360">
        <v>6</v>
      </c>
      <c r="I360">
        <v>6</v>
      </c>
    </row>
    <row r="361" spans="1:9" x14ac:dyDescent="0.3">
      <c r="A361">
        <v>2419</v>
      </c>
      <c r="B361">
        <v>11</v>
      </c>
      <c r="C361">
        <v>10</v>
      </c>
      <c r="D361">
        <v>5</v>
      </c>
      <c r="E361" s="1">
        <v>46105</v>
      </c>
      <c r="F361">
        <v>374.66</v>
      </c>
      <c r="G361">
        <v>355927</v>
      </c>
      <c r="H361">
        <v>6</v>
      </c>
      <c r="I361">
        <v>6</v>
      </c>
    </row>
    <row r="362" spans="1:9" x14ac:dyDescent="0.3">
      <c r="A362">
        <v>2420</v>
      </c>
      <c r="B362">
        <v>17</v>
      </c>
      <c r="C362">
        <v>10</v>
      </c>
      <c r="D362">
        <v>6</v>
      </c>
      <c r="E362" s="1">
        <v>46088</v>
      </c>
      <c r="F362">
        <v>944.48</v>
      </c>
      <c r="G362">
        <v>897256</v>
      </c>
      <c r="H362">
        <v>6</v>
      </c>
      <c r="I362">
        <v>6</v>
      </c>
    </row>
    <row r="363" spans="1:9" x14ac:dyDescent="0.3">
      <c r="A363">
        <v>2421</v>
      </c>
      <c r="B363">
        <v>18</v>
      </c>
      <c r="C363">
        <v>10</v>
      </c>
      <c r="D363">
        <v>6</v>
      </c>
      <c r="E363" s="1">
        <v>46071</v>
      </c>
      <c r="F363">
        <v>152.41999999999999</v>
      </c>
      <c r="G363">
        <v>144799</v>
      </c>
      <c r="H363">
        <v>4</v>
      </c>
      <c r="I363">
        <v>6</v>
      </c>
    </row>
    <row r="364" spans="1:9" x14ac:dyDescent="0.3">
      <c r="A364">
        <v>2422</v>
      </c>
      <c r="B364">
        <v>19</v>
      </c>
      <c r="C364">
        <v>10</v>
      </c>
      <c r="D364">
        <v>6</v>
      </c>
      <c r="E364" s="1">
        <v>46065</v>
      </c>
      <c r="F364">
        <v>736.42</v>
      </c>
      <c r="G364">
        <v>699599</v>
      </c>
      <c r="H364">
        <v>6</v>
      </c>
      <c r="I364">
        <v>6</v>
      </c>
    </row>
    <row r="365" spans="1:9" x14ac:dyDescent="0.3">
      <c r="A365">
        <v>2423</v>
      </c>
      <c r="B365">
        <v>9</v>
      </c>
      <c r="C365">
        <v>10</v>
      </c>
      <c r="D365">
        <v>7</v>
      </c>
      <c r="E365" s="1">
        <v>46029</v>
      </c>
      <c r="F365">
        <v>497.62</v>
      </c>
      <c r="G365">
        <v>472739</v>
      </c>
      <c r="H365">
        <v>4</v>
      </c>
      <c r="I365">
        <v>4</v>
      </c>
    </row>
    <row r="366" spans="1:9" x14ac:dyDescent="0.3">
      <c r="A366">
        <v>2424</v>
      </c>
      <c r="B366">
        <v>1</v>
      </c>
      <c r="C366">
        <v>10</v>
      </c>
      <c r="D366">
        <v>7</v>
      </c>
      <c r="E366" s="1">
        <v>46028</v>
      </c>
      <c r="F366">
        <v>410.99</v>
      </c>
      <c r="G366">
        <v>390440.5</v>
      </c>
      <c r="H366">
        <v>2</v>
      </c>
      <c r="I366">
        <v>4</v>
      </c>
    </row>
    <row r="367" spans="1:9" x14ac:dyDescent="0.3">
      <c r="A367">
        <v>2425</v>
      </c>
      <c r="B367">
        <v>10</v>
      </c>
      <c r="C367">
        <v>10</v>
      </c>
      <c r="D367">
        <v>7</v>
      </c>
      <c r="E367" s="1">
        <v>46094</v>
      </c>
      <c r="F367">
        <v>244.85</v>
      </c>
      <c r="G367">
        <v>232607.5</v>
      </c>
      <c r="H367">
        <v>2</v>
      </c>
      <c r="I367">
        <v>4</v>
      </c>
    </row>
    <row r="368" spans="1:9" x14ac:dyDescent="0.3">
      <c r="A368">
        <v>2426</v>
      </c>
      <c r="B368">
        <v>24</v>
      </c>
      <c r="C368">
        <v>10</v>
      </c>
      <c r="D368">
        <v>8</v>
      </c>
      <c r="E368" s="1">
        <v>46079</v>
      </c>
      <c r="F368">
        <v>895.74</v>
      </c>
      <c r="G368">
        <v>850953</v>
      </c>
      <c r="H368">
        <v>6</v>
      </c>
      <c r="I368">
        <v>4</v>
      </c>
    </row>
    <row r="369" spans="1:9" x14ac:dyDescent="0.3">
      <c r="A369">
        <v>2427</v>
      </c>
      <c r="B369">
        <v>8</v>
      </c>
      <c r="C369">
        <v>10</v>
      </c>
      <c r="D369">
        <v>8</v>
      </c>
      <c r="E369" s="1">
        <v>46090</v>
      </c>
      <c r="F369">
        <v>435.38</v>
      </c>
      <c r="G369">
        <v>413611</v>
      </c>
      <c r="H369">
        <v>2</v>
      </c>
      <c r="I369">
        <v>4</v>
      </c>
    </row>
    <row r="370" spans="1:9" x14ac:dyDescent="0.3">
      <c r="A370">
        <v>2428</v>
      </c>
      <c r="B370">
        <v>8</v>
      </c>
      <c r="C370">
        <v>10</v>
      </c>
      <c r="D370">
        <v>9</v>
      </c>
      <c r="E370" s="1">
        <v>46028</v>
      </c>
      <c r="F370">
        <v>736.47</v>
      </c>
      <c r="G370">
        <v>699646.5</v>
      </c>
      <c r="H370">
        <v>5</v>
      </c>
      <c r="I370">
        <v>6</v>
      </c>
    </row>
    <row r="371" spans="1:9" x14ac:dyDescent="0.3">
      <c r="A371">
        <v>2429</v>
      </c>
      <c r="B371">
        <v>8</v>
      </c>
      <c r="C371">
        <v>10</v>
      </c>
      <c r="D371">
        <v>9</v>
      </c>
      <c r="E371" s="1">
        <v>46101</v>
      </c>
      <c r="F371">
        <v>919.39</v>
      </c>
      <c r="G371">
        <v>873420.5</v>
      </c>
      <c r="H371">
        <v>6</v>
      </c>
      <c r="I371">
        <v>6</v>
      </c>
    </row>
    <row r="372" spans="1:9" x14ac:dyDescent="0.3">
      <c r="A372">
        <v>2430</v>
      </c>
      <c r="B372">
        <v>23</v>
      </c>
      <c r="C372">
        <v>10</v>
      </c>
      <c r="D372">
        <v>9</v>
      </c>
      <c r="E372" s="1">
        <v>46025</v>
      </c>
      <c r="F372">
        <v>697.51</v>
      </c>
      <c r="G372">
        <v>662634.5</v>
      </c>
      <c r="H372">
        <v>5</v>
      </c>
      <c r="I372">
        <v>6</v>
      </c>
    </row>
    <row r="373" spans="1:9" x14ac:dyDescent="0.3">
      <c r="A373">
        <v>2431</v>
      </c>
      <c r="B373">
        <v>24</v>
      </c>
      <c r="C373">
        <v>10</v>
      </c>
      <c r="D373">
        <v>9</v>
      </c>
      <c r="E373" s="1">
        <v>46036</v>
      </c>
      <c r="F373">
        <v>250.76</v>
      </c>
      <c r="G373">
        <v>238222</v>
      </c>
      <c r="H373">
        <v>6</v>
      </c>
      <c r="I373">
        <v>6</v>
      </c>
    </row>
    <row r="374" spans="1:9" x14ac:dyDescent="0.3">
      <c r="A374">
        <v>2432</v>
      </c>
      <c r="B374">
        <v>23</v>
      </c>
      <c r="C374">
        <v>10</v>
      </c>
      <c r="D374">
        <v>10</v>
      </c>
      <c r="E374" s="1">
        <v>46085</v>
      </c>
      <c r="F374">
        <v>581.95000000000005</v>
      </c>
      <c r="G374">
        <v>552852.5</v>
      </c>
      <c r="H374">
        <v>7</v>
      </c>
      <c r="I374">
        <v>6</v>
      </c>
    </row>
    <row r="375" spans="1:9" x14ac:dyDescent="0.3">
      <c r="A375">
        <v>2433</v>
      </c>
      <c r="B375">
        <v>16</v>
      </c>
      <c r="C375">
        <v>10</v>
      </c>
      <c r="D375">
        <v>10</v>
      </c>
      <c r="E375" s="1">
        <v>46060</v>
      </c>
      <c r="F375">
        <v>353.91</v>
      </c>
      <c r="G375">
        <v>336214.5</v>
      </c>
      <c r="H375">
        <v>9</v>
      </c>
      <c r="I375">
        <v>6</v>
      </c>
    </row>
    <row r="376" spans="1:9" x14ac:dyDescent="0.3">
      <c r="A376">
        <v>2434</v>
      </c>
      <c r="B376">
        <v>1</v>
      </c>
      <c r="C376">
        <v>11</v>
      </c>
      <c r="D376">
        <v>1</v>
      </c>
      <c r="E376" s="1">
        <v>46076</v>
      </c>
      <c r="F376">
        <v>987.26</v>
      </c>
      <c r="G376">
        <v>375158.8</v>
      </c>
      <c r="H376">
        <v>8</v>
      </c>
      <c r="I376">
        <v>6</v>
      </c>
    </row>
    <row r="377" spans="1:9" x14ac:dyDescent="0.3">
      <c r="A377">
        <v>2435</v>
      </c>
      <c r="B377">
        <v>18</v>
      </c>
      <c r="C377">
        <v>11</v>
      </c>
      <c r="D377">
        <v>1</v>
      </c>
      <c r="E377" s="1">
        <v>46099</v>
      </c>
      <c r="F377">
        <v>132.84</v>
      </c>
      <c r="G377">
        <v>50479.199999999997</v>
      </c>
      <c r="H377">
        <v>7</v>
      </c>
      <c r="I377">
        <v>6</v>
      </c>
    </row>
    <row r="378" spans="1:9" x14ac:dyDescent="0.3">
      <c r="A378">
        <v>2436</v>
      </c>
      <c r="B378">
        <v>9</v>
      </c>
      <c r="C378">
        <v>11</v>
      </c>
      <c r="D378">
        <v>1</v>
      </c>
      <c r="E378" s="1">
        <v>46082</v>
      </c>
      <c r="F378">
        <v>352.14</v>
      </c>
      <c r="G378">
        <v>133813.20000000001</v>
      </c>
      <c r="H378">
        <v>5</v>
      </c>
      <c r="I378">
        <v>6</v>
      </c>
    </row>
    <row r="379" spans="1:9" x14ac:dyDescent="0.3">
      <c r="A379">
        <v>2437</v>
      </c>
      <c r="B379">
        <v>1</v>
      </c>
      <c r="C379">
        <v>11</v>
      </c>
      <c r="D379">
        <v>1</v>
      </c>
      <c r="E379" s="1">
        <v>46083</v>
      </c>
      <c r="F379">
        <v>338.23</v>
      </c>
      <c r="G379">
        <v>128527.4</v>
      </c>
      <c r="H379">
        <v>5</v>
      </c>
      <c r="I379">
        <v>6</v>
      </c>
    </row>
    <row r="380" spans="1:9" x14ac:dyDescent="0.3">
      <c r="A380">
        <v>2438</v>
      </c>
      <c r="B380">
        <v>17</v>
      </c>
      <c r="C380">
        <v>11</v>
      </c>
      <c r="D380">
        <v>1</v>
      </c>
      <c r="E380" s="1">
        <v>46077</v>
      </c>
      <c r="F380">
        <v>140.38999999999999</v>
      </c>
      <c r="G380">
        <v>53348.2</v>
      </c>
      <c r="H380">
        <v>5</v>
      </c>
      <c r="I380">
        <v>6</v>
      </c>
    </row>
    <row r="381" spans="1:9" x14ac:dyDescent="0.3">
      <c r="A381">
        <v>2439</v>
      </c>
      <c r="B381">
        <v>10</v>
      </c>
      <c r="C381">
        <v>11</v>
      </c>
      <c r="D381">
        <v>1</v>
      </c>
      <c r="E381" s="1">
        <v>46067</v>
      </c>
      <c r="F381">
        <v>535.79</v>
      </c>
      <c r="G381">
        <v>203600.2</v>
      </c>
      <c r="H381">
        <v>4</v>
      </c>
      <c r="I381">
        <v>6</v>
      </c>
    </row>
    <row r="382" spans="1:9" x14ac:dyDescent="0.3">
      <c r="A382">
        <v>2440</v>
      </c>
      <c r="B382">
        <v>17</v>
      </c>
      <c r="C382">
        <v>11</v>
      </c>
      <c r="D382">
        <v>2</v>
      </c>
      <c r="E382" s="1">
        <v>46045</v>
      </c>
      <c r="F382">
        <v>837.74</v>
      </c>
      <c r="G382">
        <v>318341.2</v>
      </c>
      <c r="H382">
        <v>2</v>
      </c>
      <c r="I382">
        <v>4</v>
      </c>
    </row>
    <row r="383" spans="1:9" x14ac:dyDescent="0.3">
      <c r="A383">
        <v>2441</v>
      </c>
      <c r="B383">
        <v>16</v>
      </c>
      <c r="C383">
        <v>11</v>
      </c>
      <c r="D383">
        <v>2</v>
      </c>
      <c r="E383" s="1">
        <v>46064</v>
      </c>
      <c r="F383">
        <v>817.5</v>
      </c>
      <c r="G383">
        <v>310650</v>
      </c>
      <c r="H383">
        <v>4</v>
      </c>
      <c r="I383">
        <v>4</v>
      </c>
    </row>
    <row r="384" spans="1:9" x14ac:dyDescent="0.3">
      <c r="A384">
        <v>2442</v>
      </c>
      <c r="B384">
        <v>25</v>
      </c>
      <c r="C384">
        <v>11</v>
      </c>
      <c r="D384">
        <v>2</v>
      </c>
      <c r="E384" s="1">
        <v>46071</v>
      </c>
      <c r="F384">
        <v>195.65</v>
      </c>
      <c r="G384">
        <v>74347</v>
      </c>
      <c r="H384">
        <v>4</v>
      </c>
      <c r="I384">
        <v>4</v>
      </c>
    </row>
    <row r="385" spans="1:9" x14ac:dyDescent="0.3">
      <c r="A385">
        <v>2443</v>
      </c>
      <c r="B385">
        <v>23</v>
      </c>
      <c r="C385">
        <v>11</v>
      </c>
      <c r="D385">
        <v>3</v>
      </c>
      <c r="E385" s="1">
        <v>46092</v>
      </c>
      <c r="F385">
        <v>265.47000000000003</v>
      </c>
      <c r="G385">
        <v>100878.6</v>
      </c>
      <c r="H385">
        <v>2</v>
      </c>
      <c r="I385">
        <v>4</v>
      </c>
    </row>
    <row r="386" spans="1:9" x14ac:dyDescent="0.3">
      <c r="A386">
        <v>2444</v>
      </c>
      <c r="B386">
        <v>6</v>
      </c>
      <c r="C386">
        <v>11</v>
      </c>
      <c r="D386">
        <v>3</v>
      </c>
      <c r="E386" s="1">
        <v>46031</v>
      </c>
      <c r="F386">
        <v>594.37</v>
      </c>
      <c r="G386">
        <v>225860.6</v>
      </c>
      <c r="H386">
        <v>3</v>
      </c>
      <c r="I386">
        <v>4</v>
      </c>
    </row>
    <row r="387" spans="1:9" x14ac:dyDescent="0.3">
      <c r="A387">
        <v>2445</v>
      </c>
      <c r="B387">
        <v>16</v>
      </c>
      <c r="C387">
        <v>11</v>
      </c>
      <c r="D387">
        <v>3</v>
      </c>
      <c r="E387" s="1">
        <v>46104</v>
      </c>
      <c r="F387">
        <v>722.25</v>
      </c>
      <c r="G387">
        <v>274455</v>
      </c>
      <c r="H387">
        <v>3</v>
      </c>
      <c r="I387">
        <v>4</v>
      </c>
    </row>
    <row r="388" spans="1:9" x14ac:dyDescent="0.3">
      <c r="A388">
        <v>2446</v>
      </c>
      <c r="B388">
        <v>7</v>
      </c>
      <c r="C388">
        <v>11</v>
      </c>
      <c r="D388">
        <v>3</v>
      </c>
      <c r="E388" s="1">
        <v>46094</v>
      </c>
      <c r="F388">
        <v>357.14</v>
      </c>
      <c r="G388">
        <v>135713.20000000001</v>
      </c>
      <c r="H388">
        <v>4</v>
      </c>
      <c r="I388">
        <v>4</v>
      </c>
    </row>
    <row r="389" spans="1:9" x14ac:dyDescent="0.3">
      <c r="A389">
        <v>2447</v>
      </c>
      <c r="B389">
        <v>23</v>
      </c>
      <c r="C389">
        <v>11</v>
      </c>
      <c r="D389">
        <v>4</v>
      </c>
      <c r="E389" s="1">
        <v>46059</v>
      </c>
      <c r="F389">
        <v>911.31</v>
      </c>
      <c r="G389">
        <v>346297.8</v>
      </c>
      <c r="H389">
        <v>4</v>
      </c>
      <c r="I389">
        <v>6</v>
      </c>
    </row>
    <row r="390" spans="1:9" x14ac:dyDescent="0.3">
      <c r="A390">
        <v>2448</v>
      </c>
      <c r="B390">
        <v>13</v>
      </c>
      <c r="C390">
        <v>11</v>
      </c>
      <c r="D390">
        <v>4</v>
      </c>
      <c r="E390" s="1">
        <v>46065</v>
      </c>
      <c r="F390">
        <v>348.32</v>
      </c>
      <c r="G390">
        <v>132361.60000000001</v>
      </c>
      <c r="H390">
        <v>9</v>
      </c>
      <c r="I390">
        <v>6</v>
      </c>
    </row>
    <row r="391" spans="1:9" x14ac:dyDescent="0.3">
      <c r="A391">
        <v>2449</v>
      </c>
      <c r="B391">
        <v>8</v>
      </c>
      <c r="C391">
        <v>11</v>
      </c>
      <c r="D391">
        <v>4</v>
      </c>
      <c r="E391" s="1">
        <v>46026</v>
      </c>
      <c r="F391">
        <v>347.08</v>
      </c>
      <c r="G391">
        <v>131890.4</v>
      </c>
      <c r="H391">
        <v>6</v>
      </c>
      <c r="I391">
        <v>6</v>
      </c>
    </row>
    <row r="392" spans="1:9" x14ac:dyDescent="0.3">
      <c r="A392">
        <v>2450</v>
      </c>
      <c r="B392">
        <v>6</v>
      </c>
      <c r="C392">
        <v>11</v>
      </c>
      <c r="D392">
        <v>5</v>
      </c>
      <c r="E392" s="1">
        <v>46088</v>
      </c>
      <c r="F392">
        <v>387.57</v>
      </c>
      <c r="G392">
        <v>147276.6</v>
      </c>
      <c r="H392">
        <v>9</v>
      </c>
      <c r="I392">
        <v>6</v>
      </c>
    </row>
    <row r="393" spans="1:9" x14ac:dyDescent="0.3">
      <c r="A393">
        <v>2451</v>
      </c>
      <c r="B393">
        <v>7</v>
      </c>
      <c r="C393">
        <v>11</v>
      </c>
      <c r="D393">
        <v>5</v>
      </c>
      <c r="E393" s="1">
        <v>46093</v>
      </c>
      <c r="F393">
        <v>563.32000000000005</v>
      </c>
      <c r="G393">
        <v>214061.6</v>
      </c>
      <c r="H393">
        <v>6</v>
      </c>
      <c r="I393">
        <v>6</v>
      </c>
    </row>
    <row r="394" spans="1:9" x14ac:dyDescent="0.3">
      <c r="A394">
        <v>2452</v>
      </c>
      <c r="B394">
        <v>14</v>
      </c>
      <c r="C394">
        <v>11</v>
      </c>
      <c r="D394">
        <v>5</v>
      </c>
      <c r="E394" s="1">
        <v>46025</v>
      </c>
      <c r="F394">
        <v>700.22</v>
      </c>
      <c r="G394">
        <v>266083.59999999998</v>
      </c>
      <c r="H394">
        <v>7</v>
      </c>
      <c r="I394">
        <v>6</v>
      </c>
    </row>
    <row r="395" spans="1:9" x14ac:dyDescent="0.3">
      <c r="A395">
        <v>2453</v>
      </c>
      <c r="B395">
        <v>6</v>
      </c>
      <c r="C395">
        <v>11</v>
      </c>
      <c r="D395">
        <v>5</v>
      </c>
      <c r="E395" s="1">
        <v>46078</v>
      </c>
      <c r="F395">
        <v>856.35</v>
      </c>
      <c r="G395">
        <v>325413</v>
      </c>
      <c r="H395">
        <v>5</v>
      </c>
      <c r="I395">
        <v>6</v>
      </c>
    </row>
    <row r="396" spans="1:9" x14ac:dyDescent="0.3">
      <c r="A396">
        <v>2454</v>
      </c>
      <c r="B396">
        <v>5</v>
      </c>
      <c r="C396">
        <v>11</v>
      </c>
      <c r="D396">
        <v>5</v>
      </c>
      <c r="E396" s="1">
        <v>46110</v>
      </c>
      <c r="F396">
        <v>491.71</v>
      </c>
      <c r="G396">
        <v>186849.8</v>
      </c>
      <c r="H396">
        <v>6</v>
      </c>
      <c r="I396">
        <v>6</v>
      </c>
    </row>
    <row r="397" spans="1:9" x14ac:dyDescent="0.3">
      <c r="A397">
        <v>2455</v>
      </c>
      <c r="B397">
        <v>21</v>
      </c>
      <c r="C397">
        <v>11</v>
      </c>
      <c r="D397">
        <v>6</v>
      </c>
      <c r="E397" s="1">
        <v>46047</v>
      </c>
      <c r="F397">
        <v>756.23</v>
      </c>
      <c r="G397">
        <v>287367.40000000002</v>
      </c>
      <c r="H397">
        <v>6</v>
      </c>
      <c r="I397">
        <v>6</v>
      </c>
    </row>
    <row r="398" spans="1:9" x14ac:dyDescent="0.3">
      <c r="A398">
        <v>2456</v>
      </c>
      <c r="B398">
        <v>14</v>
      </c>
      <c r="C398">
        <v>11</v>
      </c>
      <c r="D398">
        <v>6</v>
      </c>
      <c r="E398" s="1">
        <v>46030</v>
      </c>
      <c r="F398">
        <v>883.04</v>
      </c>
      <c r="G398">
        <v>335555.2</v>
      </c>
      <c r="H398">
        <v>5</v>
      </c>
      <c r="I398">
        <v>6</v>
      </c>
    </row>
    <row r="399" spans="1:9" x14ac:dyDescent="0.3">
      <c r="A399">
        <v>2457</v>
      </c>
      <c r="B399">
        <v>13</v>
      </c>
      <c r="C399">
        <v>11</v>
      </c>
      <c r="D399">
        <v>6</v>
      </c>
      <c r="E399" s="1">
        <v>46035</v>
      </c>
      <c r="F399">
        <v>244.9</v>
      </c>
      <c r="G399">
        <v>93062</v>
      </c>
      <c r="H399">
        <v>4</v>
      </c>
      <c r="I399">
        <v>6</v>
      </c>
    </row>
    <row r="400" spans="1:9" x14ac:dyDescent="0.3">
      <c r="A400">
        <v>2458</v>
      </c>
      <c r="B400">
        <v>5</v>
      </c>
      <c r="C400">
        <v>11</v>
      </c>
      <c r="D400">
        <v>6</v>
      </c>
      <c r="E400" s="1">
        <v>46064</v>
      </c>
      <c r="F400">
        <v>572.17999999999995</v>
      </c>
      <c r="G400">
        <v>217428.4</v>
      </c>
      <c r="H400">
        <v>5</v>
      </c>
      <c r="I400">
        <v>6</v>
      </c>
    </row>
    <row r="401" spans="1:9" x14ac:dyDescent="0.3">
      <c r="A401">
        <v>2459</v>
      </c>
      <c r="B401">
        <v>21</v>
      </c>
      <c r="C401">
        <v>11</v>
      </c>
      <c r="D401">
        <v>6</v>
      </c>
      <c r="E401" s="1">
        <v>46040</v>
      </c>
      <c r="F401">
        <v>491.91</v>
      </c>
      <c r="G401">
        <v>186925.8</v>
      </c>
      <c r="H401">
        <v>8</v>
      </c>
      <c r="I401">
        <v>6</v>
      </c>
    </row>
    <row r="402" spans="1:9" x14ac:dyDescent="0.3">
      <c r="A402">
        <v>2460</v>
      </c>
      <c r="B402">
        <v>2</v>
      </c>
      <c r="C402">
        <v>11</v>
      </c>
      <c r="D402">
        <v>7</v>
      </c>
      <c r="E402" s="1">
        <v>46111</v>
      </c>
      <c r="F402">
        <v>943.89</v>
      </c>
      <c r="G402">
        <v>358678.2</v>
      </c>
      <c r="H402">
        <v>3</v>
      </c>
      <c r="I402">
        <v>4</v>
      </c>
    </row>
    <row r="403" spans="1:9" x14ac:dyDescent="0.3">
      <c r="A403">
        <v>2461</v>
      </c>
      <c r="B403">
        <v>5</v>
      </c>
      <c r="C403">
        <v>11</v>
      </c>
      <c r="D403">
        <v>7</v>
      </c>
      <c r="E403" s="1">
        <v>46078</v>
      </c>
      <c r="F403">
        <v>290.99</v>
      </c>
      <c r="G403">
        <v>110576.2</v>
      </c>
      <c r="H403">
        <v>4</v>
      </c>
      <c r="I403">
        <v>4</v>
      </c>
    </row>
    <row r="404" spans="1:9" x14ac:dyDescent="0.3">
      <c r="A404">
        <v>2462</v>
      </c>
      <c r="B404">
        <v>3</v>
      </c>
      <c r="C404">
        <v>11</v>
      </c>
      <c r="D404">
        <v>7</v>
      </c>
      <c r="E404" s="1">
        <v>46104</v>
      </c>
      <c r="F404">
        <v>609.09</v>
      </c>
      <c r="G404">
        <v>231454.2</v>
      </c>
      <c r="H404">
        <v>2</v>
      </c>
      <c r="I404">
        <v>4</v>
      </c>
    </row>
    <row r="405" spans="1:9" x14ac:dyDescent="0.3">
      <c r="A405">
        <v>2463</v>
      </c>
      <c r="B405">
        <v>3</v>
      </c>
      <c r="C405">
        <v>11</v>
      </c>
      <c r="D405">
        <v>7</v>
      </c>
      <c r="E405" s="1">
        <v>46031</v>
      </c>
      <c r="F405">
        <v>454.41</v>
      </c>
      <c r="G405">
        <v>172675.8</v>
      </c>
      <c r="H405">
        <v>4</v>
      </c>
      <c r="I405">
        <v>4</v>
      </c>
    </row>
    <row r="406" spans="1:9" x14ac:dyDescent="0.3">
      <c r="A406">
        <v>2464</v>
      </c>
      <c r="B406">
        <v>12</v>
      </c>
      <c r="C406">
        <v>11</v>
      </c>
      <c r="D406">
        <v>8</v>
      </c>
      <c r="E406" s="1">
        <v>46043</v>
      </c>
      <c r="F406">
        <v>925.73</v>
      </c>
      <c r="G406">
        <v>351777.4</v>
      </c>
      <c r="H406">
        <v>3</v>
      </c>
      <c r="I406">
        <v>4</v>
      </c>
    </row>
    <row r="407" spans="1:9" x14ac:dyDescent="0.3">
      <c r="A407">
        <v>2465</v>
      </c>
      <c r="B407">
        <v>3</v>
      </c>
      <c r="C407">
        <v>11</v>
      </c>
      <c r="D407">
        <v>8</v>
      </c>
      <c r="E407" s="1">
        <v>46048</v>
      </c>
      <c r="F407">
        <v>260</v>
      </c>
      <c r="G407">
        <v>98800</v>
      </c>
      <c r="H407">
        <v>3</v>
      </c>
      <c r="I407">
        <v>4</v>
      </c>
    </row>
    <row r="408" spans="1:9" x14ac:dyDescent="0.3">
      <c r="A408">
        <v>2466</v>
      </c>
      <c r="B408">
        <v>1</v>
      </c>
      <c r="C408">
        <v>11</v>
      </c>
      <c r="D408">
        <v>8</v>
      </c>
      <c r="E408" s="1">
        <v>46069</v>
      </c>
      <c r="F408">
        <v>367.54</v>
      </c>
      <c r="G408">
        <v>139665.20000000001</v>
      </c>
      <c r="H408">
        <v>3</v>
      </c>
      <c r="I408">
        <v>4</v>
      </c>
    </row>
    <row r="409" spans="1:9" x14ac:dyDescent="0.3">
      <c r="A409">
        <v>2467</v>
      </c>
      <c r="B409">
        <v>21</v>
      </c>
      <c r="C409">
        <v>11</v>
      </c>
      <c r="D409">
        <v>8</v>
      </c>
      <c r="E409" s="1">
        <v>46036</v>
      </c>
      <c r="F409">
        <v>604.53</v>
      </c>
      <c r="G409">
        <v>229721.4</v>
      </c>
      <c r="H409">
        <v>6</v>
      </c>
      <c r="I409">
        <v>4</v>
      </c>
    </row>
    <row r="410" spans="1:9" x14ac:dyDescent="0.3">
      <c r="A410">
        <v>2468</v>
      </c>
      <c r="B410">
        <v>10</v>
      </c>
      <c r="C410">
        <v>11</v>
      </c>
      <c r="D410">
        <v>8</v>
      </c>
      <c r="E410" s="1">
        <v>46066</v>
      </c>
      <c r="F410">
        <v>226.18</v>
      </c>
      <c r="G410">
        <v>85948.4</v>
      </c>
      <c r="H410">
        <v>6</v>
      </c>
      <c r="I410">
        <v>4</v>
      </c>
    </row>
    <row r="411" spans="1:9" x14ac:dyDescent="0.3">
      <c r="A411">
        <v>2469</v>
      </c>
      <c r="B411">
        <v>2</v>
      </c>
      <c r="C411">
        <v>11</v>
      </c>
      <c r="D411">
        <v>9</v>
      </c>
      <c r="E411" s="1">
        <v>46024</v>
      </c>
      <c r="F411">
        <v>482.26</v>
      </c>
      <c r="G411">
        <v>183258.8</v>
      </c>
      <c r="H411">
        <v>6</v>
      </c>
      <c r="I411">
        <v>6</v>
      </c>
    </row>
    <row r="412" spans="1:9" x14ac:dyDescent="0.3">
      <c r="A412">
        <v>2470</v>
      </c>
      <c r="B412">
        <v>19</v>
      </c>
      <c r="C412">
        <v>11</v>
      </c>
      <c r="D412">
        <v>9</v>
      </c>
      <c r="E412" s="1">
        <v>46078</v>
      </c>
      <c r="F412">
        <v>677.87</v>
      </c>
      <c r="G412">
        <v>257590.6</v>
      </c>
      <c r="H412">
        <v>5</v>
      </c>
      <c r="I412">
        <v>6</v>
      </c>
    </row>
    <row r="413" spans="1:9" x14ac:dyDescent="0.3">
      <c r="A413">
        <v>2471</v>
      </c>
      <c r="B413">
        <v>10</v>
      </c>
      <c r="C413">
        <v>11</v>
      </c>
      <c r="D413">
        <v>10</v>
      </c>
      <c r="E413" s="1">
        <v>46065</v>
      </c>
      <c r="F413">
        <v>483.37</v>
      </c>
      <c r="G413">
        <v>183680.6</v>
      </c>
      <c r="H413">
        <v>4</v>
      </c>
      <c r="I413">
        <v>6</v>
      </c>
    </row>
    <row r="414" spans="1:9" x14ac:dyDescent="0.3">
      <c r="A414">
        <v>2472</v>
      </c>
      <c r="B414">
        <v>10</v>
      </c>
      <c r="C414">
        <v>11</v>
      </c>
      <c r="D414">
        <v>10</v>
      </c>
      <c r="E414" s="1">
        <v>46035</v>
      </c>
      <c r="F414">
        <v>922.22</v>
      </c>
      <c r="G414">
        <v>350443.6</v>
      </c>
      <c r="H414">
        <v>5</v>
      </c>
      <c r="I414">
        <v>6</v>
      </c>
    </row>
    <row r="415" spans="1:9" x14ac:dyDescent="0.3">
      <c r="A415">
        <v>2473</v>
      </c>
      <c r="B415">
        <v>17</v>
      </c>
      <c r="C415">
        <v>11</v>
      </c>
      <c r="D415">
        <v>10</v>
      </c>
      <c r="E415" s="1">
        <v>46066</v>
      </c>
      <c r="F415">
        <v>544.32000000000005</v>
      </c>
      <c r="G415">
        <v>206841.60000000001</v>
      </c>
      <c r="H415">
        <v>8</v>
      </c>
      <c r="I415">
        <v>6</v>
      </c>
    </row>
    <row r="416" spans="1:9" x14ac:dyDescent="0.3">
      <c r="A416">
        <v>2474</v>
      </c>
      <c r="B416">
        <v>19</v>
      </c>
      <c r="C416">
        <v>11</v>
      </c>
      <c r="D416">
        <v>10</v>
      </c>
      <c r="E416" s="1">
        <v>46054</v>
      </c>
      <c r="F416">
        <v>853.03</v>
      </c>
      <c r="G416">
        <v>324151.40000000002</v>
      </c>
      <c r="H416">
        <v>7</v>
      </c>
      <c r="I416">
        <v>6</v>
      </c>
    </row>
    <row r="417" spans="1:9" x14ac:dyDescent="0.3">
      <c r="A417">
        <v>2475</v>
      </c>
      <c r="B417">
        <v>22</v>
      </c>
      <c r="C417">
        <v>12</v>
      </c>
      <c r="D417">
        <v>1</v>
      </c>
      <c r="E417" s="1">
        <v>46069</v>
      </c>
      <c r="F417">
        <v>486.31</v>
      </c>
      <c r="G417">
        <v>252881.2</v>
      </c>
      <c r="H417">
        <v>8</v>
      </c>
      <c r="I417">
        <v>6</v>
      </c>
    </row>
    <row r="418" spans="1:9" x14ac:dyDescent="0.3">
      <c r="A418">
        <v>2476</v>
      </c>
      <c r="B418">
        <v>19</v>
      </c>
      <c r="C418">
        <v>12</v>
      </c>
      <c r="D418">
        <v>1</v>
      </c>
      <c r="E418" s="1">
        <v>46088</v>
      </c>
      <c r="F418">
        <v>509.29</v>
      </c>
      <c r="G418">
        <v>264830.8</v>
      </c>
      <c r="H418">
        <v>5</v>
      </c>
      <c r="I418">
        <v>6</v>
      </c>
    </row>
    <row r="419" spans="1:9" x14ac:dyDescent="0.3">
      <c r="A419">
        <v>2477</v>
      </c>
      <c r="B419">
        <v>20</v>
      </c>
      <c r="C419">
        <v>12</v>
      </c>
      <c r="D419">
        <v>1</v>
      </c>
      <c r="E419" s="1">
        <v>46083</v>
      </c>
      <c r="F419">
        <v>236.84</v>
      </c>
      <c r="G419">
        <v>123156.8</v>
      </c>
      <c r="H419">
        <v>7</v>
      </c>
      <c r="I419">
        <v>6</v>
      </c>
    </row>
    <row r="420" spans="1:9" x14ac:dyDescent="0.3">
      <c r="A420">
        <v>2478</v>
      </c>
      <c r="B420">
        <v>20</v>
      </c>
      <c r="C420">
        <v>12</v>
      </c>
      <c r="D420">
        <v>1</v>
      </c>
      <c r="E420" s="1">
        <v>46084</v>
      </c>
      <c r="F420">
        <v>298.52999999999997</v>
      </c>
      <c r="G420">
        <v>155235.6</v>
      </c>
      <c r="H420">
        <v>9</v>
      </c>
      <c r="I420">
        <v>6</v>
      </c>
    </row>
    <row r="421" spans="1:9" x14ac:dyDescent="0.3">
      <c r="A421">
        <v>2479</v>
      </c>
      <c r="B421">
        <v>12</v>
      </c>
      <c r="C421">
        <v>12</v>
      </c>
      <c r="D421">
        <v>1</v>
      </c>
      <c r="E421" s="1">
        <v>46096</v>
      </c>
      <c r="F421">
        <v>821.13</v>
      </c>
      <c r="G421">
        <v>426987.6</v>
      </c>
      <c r="H421">
        <v>6</v>
      </c>
      <c r="I421">
        <v>6</v>
      </c>
    </row>
    <row r="422" spans="1:9" x14ac:dyDescent="0.3">
      <c r="A422">
        <v>2480</v>
      </c>
      <c r="B422">
        <v>21</v>
      </c>
      <c r="C422">
        <v>12</v>
      </c>
      <c r="D422">
        <v>1</v>
      </c>
      <c r="E422" s="1">
        <v>46056</v>
      </c>
      <c r="F422">
        <v>841.85</v>
      </c>
      <c r="G422">
        <v>437762</v>
      </c>
      <c r="H422">
        <v>9</v>
      </c>
      <c r="I422">
        <v>6</v>
      </c>
    </row>
    <row r="423" spans="1:9" x14ac:dyDescent="0.3">
      <c r="A423">
        <v>2481</v>
      </c>
      <c r="B423">
        <v>20</v>
      </c>
      <c r="C423">
        <v>12</v>
      </c>
      <c r="D423">
        <v>1</v>
      </c>
      <c r="E423" s="1">
        <v>46067</v>
      </c>
      <c r="F423">
        <v>451.64</v>
      </c>
      <c r="G423">
        <v>234852.8</v>
      </c>
      <c r="H423">
        <v>6</v>
      </c>
      <c r="I423">
        <v>6</v>
      </c>
    </row>
    <row r="424" spans="1:9" x14ac:dyDescent="0.3">
      <c r="A424">
        <v>2482</v>
      </c>
      <c r="B424">
        <v>13</v>
      </c>
      <c r="C424">
        <v>12</v>
      </c>
      <c r="D424">
        <v>1</v>
      </c>
      <c r="E424" s="1">
        <v>46067</v>
      </c>
      <c r="F424">
        <v>423.39</v>
      </c>
      <c r="G424">
        <v>220162.8</v>
      </c>
      <c r="H424">
        <v>9</v>
      </c>
      <c r="I424">
        <v>6</v>
      </c>
    </row>
    <row r="425" spans="1:9" x14ac:dyDescent="0.3">
      <c r="A425">
        <v>2483</v>
      </c>
      <c r="B425">
        <v>12</v>
      </c>
      <c r="C425">
        <v>12</v>
      </c>
      <c r="D425">
        <v>2</v>
      </c>
      <c r="E425" s="1">
        <v>46023</v>
      </c>
      <c r="F425">
        <v>625.4</v>
      </c>
      <c r="G425">
        <v>325208</v>
      </c>
      <c r="H425">
        <v>4</v>
      </c>
      <c r="I425">
        <v>4</v>
      </c>
    </row>
    <row r="426" spans="1:9" x14ac:dyDescent="0.3">
      <c r="A426">
        <v>2484</v>
      </c>
      <c r="B426">
        <v>9</v>
      </c>
      <c r="C426">
        <v>12</v>
      </c>
      <c r="D426">
        <v>2</v>
      </c>
      <c r="E426" s="1">
        <v>46059</v>
      </c>
      <c r="F426">
        <v>533.9</v>
      </c>
      <c r="G426">
        <v>277628</v>
      </c>
      <c r="H426">
        <v>2</v>
      </c>
      <c r="I426">
        <v>4</v>
      </c>
    </row>
    <row r="427" spans="1:9" x14ac:dyDescent="0.3">
      <c r="A427">
        <v>2485</v>
      </c>
      <c r="B427">
        <v>21</v>
      </c>
      <c r="C427">
        <v>12</v>
      </c>
      <c r="D427">
        <v>2</v>
      </c>
      <c r="E427" s="1">
        <v>46093</v>
      </c>
      <c r="F427">
        <v>649.78</v>
      </c>
      <c r="G427">
        <v>337885.6</v>
      </c>
      <c r="H427">
        <v>3</v>
      </c>
      <c r="I427">
        <v>4</v>
      </c>
    </row>
    <row r="428" spans="1:9" x14ac:dyDescent="0.3">
      <c r="A428">
        <v>2486</v>
      </c>
      <c r="B428">
        <v>12</v>
      </c>
      <c r="C428">
        <v>12</v>
      </c>
      <c r="D428">
        <v>2</v>
      </c>
      <c r="E428" s="1">
        <v>46033</v>
      </c>
      <c r="F428">
        <v>148.5</v>
      </c>
      <c r="G428">
        <v>77220</v>
      </c>
      <c r="H428">
        <v>2</v>
      </c>
      <c r="I428">
        <v>4</v>
      </c>
    </row>
    <row r="429" spans="1:9" x14ac:dyDescent="0.3">
      <c r="A429">
        <v>2487</v>
      </c>
      <c r="B429">
        <v>1</v>
      </c>
      <c r="C429">
        <v>12</v>
      </c>
      <c r="D429">
        <v>3</v>
      </c>
      <c r="E429" s="1">
        <v>46084</v>
      </c>
      <c r="F429">
        <v>701.12</v>
      </c>
      <c r="G429">
        <v>364582.40000000002</v>
      </c>
      <c r="H429">
        <v>2</v>
      </c>
      <c r="I429">
        <v>4</v>
      </c>
    </row>
    <row r="430" spans="1:9" x14ac:dyDescent="0.3">
      <c r="A430">
        <v>2488</v>
      </c>
      <c r="B430">
        <v>3</v>
      </c>
      <c r="C430">
        <v>12</v>
      </c>
      <c r="D430">
        <v>3</v>
      </c>
      <c r="E430" s="1">
        <v>46061</v>
      </c>
      <c r="F430">
        <v>519.62</v>
      </c>
      <c r="G430">
        <v>270202.40000000002</v>
      </c>
      <c r="H430">
        <v>4</v>
      </c>
      <c r="I430">
        <v>4</v>
      </c>
    </row>
    <row r="431" spans="1:9" x14ac:dyDescent="0.3">
      <c r="A431">
        <v>2489</v>
      </c>
      <c r="B431">
        <v>17</v>
      </c>
      <c r="C431">
        <v>12</v>
      </c>
      <c r="D431">
        <v>3</v>
      </c>
      <c r="E431" s="1">
        <v>46083</v>
      </c>
      <c r="F431">
        <v>657.34</v>
      </c>
      <c r="G431">
        <v>341816.8</v>
      </c>
      <c r="H431">
        <v>5</v>
      </c>
      <c r="I431">
        <v>4</v>
      </c>
    </row>
    <row r="432" spans="1:9" x14ac:dyDescent="0.3">
      <c r="A432">
        <v>2490</v>
      </c>
      <c r="B432">
        <v>25</v>
      </c>
      <c r="C432">
        <v>12</v>
      </c>
      <c r="D432">
        <v>4</v>
      </c>
      <c r="E432" s="1">
        <v>46044</v>
      </c>
      <c r="F432">
        <v>210.11</v>
      </c>
      <c r="G432">
        <v>109257.2</v>
      </c>
      <c r="H432">
        <v>9</v>
      </c>
      <c r="I432">
        <v>6</v>
      </c>
    </row>
    <row r="433" spans="1:9" x14ac:dyDescent="0.3">
      <c r="A433">
        <v>2491</v>
      </c>
      <c r="B433">
        <v>10</v>
      </c>
      <c r="C433">
        <v>12</v>
      </c>
      <c r="D433">
        <v>4</v>
      </c>
      <c r="E433" s="1">
        <v>46039</v>
      </c>
      <c r="F433">
        <v>813.24</v>
      </c>
      <c r="G433">
        <v>422884.8</v>
      </c>
      <c r="H433">
        <v>7</v>
      </c>
      <c r="I433">
        <v>6</v>
      </c>
    </row>
    <row r="434" spans="1:9" x14ac:dyDescent="0.3">
      <c r="A434">
        <v>2492</v>
      </c>
      <c r="B434">
        <v>16</v>
      </c>
      <c r="C434">
        <v>12</v>
      </c>
      <c r="D434">
        <v>4</v>
      </c>
      <c r="E434" s="1">
        <v>46051</v>
      </c>
      <c r="F434">
        <v>494.22</v>
      </c>
      <c r="G434">
        <v>256994.4</v>
      </c>
      <c r="H434">
        <v>6</v>
      </c>
      <c r="I434">
        <v>6</v>
      </c>
    </row>
    <row r="435" spans="1:9" x14ac:dyDescent="0.3">
      <c r="A435">
        <v>2493</v>
      </c>
      <c r="B435">
        <v>2</v>
      </c>
      <c r="C435">
        <v>12</v>
      </c>
      <c r="D435">
        <v>4</v>
      </c>
      <c r="E435" s="1">
        <v>46106</v>
      </c>
      <c r="F435">
        <v>685.51</v>
      </c>
      <c r="G435">
        <v>356465.2</v>
      </c>
      <c r="H435">
        <v>5</v>
      </c>
      <c r="I435">
        <v>6</v>
      </c>
    </row>
    <row r="436" spans="1:9" x14ac:dyDescent="0.3">
      <c r="A436">
        <v>2494</v>
      </c>
      <c r="B436">
        <v>11</v>
      </c>
      <c r="C436">
        <v>12</v>
      </c>
      <c r="D436">
        <v>4</v>
      </c>
      <c r="E436" s="1">
        <v>46108</v>
      </c>
      <c r="F436">
        <v>764.61</v>
      </c>
      <c r="G436">
        <v>397597.2</v>
      </c>
      <c r="H436">
        <v>4</v>
      </c>
      <c r="I436">
        <v>6</v>
      </c>
    </row>
    <row r="437" spans="1:9" x14ac:dyDescent="0.3">
      <c r="A437">
        <v>2495</v>
      </c>
      <c r="B437">
        <v>18</v>
      </c>
      <c r="C437">
        <v>12</v>
      </c>
      <c r="D437">
        <v>5</v>
      </c>
      <c r="E437" s="1">
        <v>46070</v>
      </c>
      <c r="F437">
        <v>366.2</v>
      </c>
      <c r="G437">
        <v>190424</v>
      </c>
      <c r="H437">
        <v>4</v>
      </c>
      <c r="I437">
        <v>6</v>
      </c>
    </row>
    <row r="438" spans="1:9" x14ac:dyDescent="0.3">
      <c r="A438">
        <v>2496</v>
      </c>
      <c r="B438">
        <v>8</v>
      </c>
      <c r="C438">
        <v>12</v>
      </c>
      <c r="D438">
        <v>5</v>
      </c>
      <c r="E438" s="1">
        <v>46080</v>
      </c>
      <c r="F438">
        <v>883.91</v>
      </c>
      <c r="G438">
        <v>459633.2</v>
      </c>
      <c r="H438">
        <v>4</v>
      </c>
      <c r="I438">
        <v>6</v>
      </c>
    </row>
    <row r="439" spans="1:9" x14ac:dyDescent="0.3">
      <c r="A439">
        <v>2497</v>
      </c>
      <c r="B439">
        <v>10</v>
      </c>
      <c r="C439">
        <v>12</v>
      </c>
      <c r="D439">
        <v>5</v>
      </c>
      <c r="E439" s="1">
        <v>46049</v>
      </c>
      <c r="F439">
        <v>314.56</v>
      </c>
      <c r="G439">
        <v>163571.20000000001</v>
      </c>
      <c r="H439">
        <v>4</v>
      </c>
      <c r="I439">
        <v>6</v>
      </c>
    </row>
    <row r="440" spans="1:9" x14ac:dyDescent="0.3">
      <c r="A440">
        <v>2498</v>
      </c>
      <c r="B440">
        <v>8</v>
      </c>
      <c r="C440">
        <v>12</v>
      </c>
      <c r="D440">
        <v>5</v>
      </c>
      <c r="E440" s="1">
        <v>46066</v>
      </c>
      <c r="F440">
        <v>283.14999999999998</v>
      </c>
      <c r="G440">
        <v>147238</v>
      </c>
      <c r="H440">
        <v>7</v>
      </c>
      <c r="I440">
        <v>6</v>
      </c>
    </row>
    <row r="441" spans="1:9" x14ac:dyDescent="0.3">
      <c r="A441">
        <v>2499</v>
      </c>
      <c r="B441">
        <v>17</v>
      </c>
      <c r="C441">
        <v>12</v>
      </c>
      <c r="D441">
        <v>5</v>
      </c>
      <c r="E441" s="1">
        <v>46087</v>
      </c>
      <c r="F441">
        <v>258.51</v>
      </c>
      <c r="G441">
        <v>134425.20000000001</v>
      </c>
      <c r="H441">
        <v>7</v>
      </c>
      <c r="I441">
        <v>6</v>
      </c>
    </row>
    <row r="442" spans="1:9" x14ac:dyDescent="0.3">
      <c r="A442">
        <v>2500</v>
      </c>
      <c r="B442">
        <v>9</v>
      </c>
      <c r="C442">
        <v>12</v>
      </c>
      <c r="D442">
        <v>5</v>
      </c>
      <c r="E442" s="1">
        <v>46058</v>
      </c>
      <c r="F442">
        <v>801.45</v>
      </c>
      <c r="G442">
        <v>416754</v>
      </c>
      <c r="H442">
        <v>8</v>
      </c>
      <c r="I442">
        <v>6</v>
      </c>
    </row>
    <row r="443" spans="1:9" x14ac:dyDescent="0.3">
      <c r="A443">
        <v>2501</v>
      </c>
      <c r="B443">
        <v>25</v>
      </c>
      <c r="C443">
        <v>12</v>
      </c>
      <c r="D443">
        <v>5</v>
      </c>
      <c r="E443" s="1">
        <v>46062</v>
      </c>
      <c r="F443">
        <v>968.96</v>
      </c>
      <c r="G443">
        <v>503859.20000000001</v>
      </c>
      <c r="H443">
        <v>6</v>
      </c>
      <c r="I443">
        <v>6</v>
      </c>
    </row>
    <row r="444" spans="1:9" x14ac:dyDescent="0.3">
      <c r="A444">
        <v>2502</v>
      </c>
      <c r="B444">
        <v>10</v>
      </c>
      <c r="C444">
        <v>12</v>
      </c>
      <c r="D444">
        <v>5</v>
      </c>
      <c r="E444" s="1">
        <v>46057</v>
      </c>
      <c r="F444">
        <v>692.18</v>
      </c>
      <c r="G444">
        <v>359933.6</v>
      </c>
      <c r="H444">
        <v>4</v>
      </c>
      <c r="I444">
        <v>6</v>
      </c>
    </row>
    <row r="445" spans="1:9" x14ac:dyDescent="0.3">
      <c r="A445">
        <v>2503</v>
      </c>
      <c r="B445">
        <v>18</v>
      </c>
      <c r="C445">
        <v>12</v>
      </c>
      <c r="D445">
        <v>5</v>
      </c>
      <c r="E445" s="1">
        <v>46086</v>
      </c>
      <c r="F445">
        <v>139.31</v>
      </c>
      <c r="G445">
        <v>72441.2</v>
      </c>
      <c r="H445">
        <v>6</v>
      </c>
      <c r="I445">
        <v>6</v>
      </c>
    </row>
    <row r="446" spans="1:9" x14ac:dyDescent="0.3">
      <c r="A446">
        <v>2504</v>
      </c>
      <c r="B446">
        <v>16</v>
      </c>
      <c r="C446">
        <v>12</v>
      </c>
      <c r="D446">
        <v>6</v>
      </c>
      <c r="E446" s="1">
        <v>46106</v>
      </c>
      <c r="F446">
        <v>217.44</v>
      </c>
      <c r="G446">
        <v>113068.8</v>
      </c>
      <c r="H446">
        <v>9</v>
      </c>
      <c r="I446">
        <v>6</v>
      </c>
    </row>
    <row r="447" spans="1:9" x14ac:dyDescent="0.3">
      <c r="A447">
        <v>2505</v>
      </c>
      <c r="B447">
        <v>9</v>
      </c>
      <c r="C447">
        <v>12</v>
      </c>
      <c r="D447">
        <v>6</v>
      </c>
      <c r="E447" s="1">
        <v>46110</v>
      </c>
      <c r="F447">
        <v>325.31</v>
      </c>
      <c r="G447">
        <v>169161.2</v>
      </c>
      <c r="H447">
        <v>6</v>
      </c>
      <c r="I447">
        <v>6</v>
      </c>
    </row>
    <row r="448" spans="1:9" x14ac:dyDescent="0.3">
      <c r="A448">
        <v>2506</v>
      </c>
      <c r="B448">
        <v>9</v>
      </c>
      <c r="C448">
        <v>12</v>
      </c>
      <c r="D448">
        <v>6</v>
      </c>
      <c r="E448" s="1">
        <v>46042</v>
      </c>
      <c r="F448">
        <v>368.22</v>
      </c>
      <c r="G448">
        <v>191474.4</v>
      </c>
      <c r="H448">
        <v>6</v>
      </c>
      <c r="I448">
        <v>6</v>
      </c>
    </row>
    <row r="449" spans="1:9" x14ac:dyDescent="0.3">
      <c r="A449">
        <v>2507</v>
      </c>
      <c r="B449">
        <v>23</v>
      </c>
      <c r="C449">
        <v>12</v>
      </c>
      <c r="D449">
        <v>6</v>
      </c>
      <c r="E449" s="1">
        <v>46035</v>
      </c>
      <c r="F449">
        <v>152.66</v>
      </c>
      <c r="G449">
        <v>79383.199999999997</v>
      </c>
      <c r="H449">
        <v>8</v>
      </c>
      <c r="I449">
        <v>6</v>
      </c>
    </row>
    <row r="450" spans="1:9" x14ac:dyDescent="0.3">
      <c r="A450">
        <v>2508</v>
      </c>
      <c r="B450">
        <v>10</v>
      </c>
      <c r="C450">
        <v>12</v>
      </c>
      <c r="D450">
        <v>6</v>
      </c>
      <c r="E450" s="1">
        <v>46091</v>
      </c>
      <c r="F450">
        <v>344.9</v>
      </c>
      <c r="G450">
        <v>179348</v>
      </c>
      <c r="H450">
        <v>9</v>
      </c>
      <c r="I450">
        <v>6</v>
      </c>
    </row>
    <row r="451" spans="1:9" x14ac:dyDescent="0.3">
      <c r="A451">
        <v>2509</v>
      </c>
      <c r="B451">
        <v>5</v>
      </c>
      <c r="C451">
        <v>12</v>
      </c>
      <c r="D451">
        <v>7</v>
      </c>
      <c r="E451" s="1">
        <v>46107</v>
      </c>
      <c r="F451">
        <v>636.65</v>
      </c>
      <c r="G451">
        <v>331058</v>
      </c>
      <c r="H451">
        <v>2</v>
      </c>
      <c r="I451">
        <v>4</v>
      </c>
    </row>
    <row r="452" spans="1:9" x14ac:dyDescent="0.3">
      <c r="A452">
        <v>2510</v>
      </c>
      <c r="B452">
        <v>24</v>
      </c>
      <c r="C452">
        <v>12</v>
      </c>
      <c r="D452">
        <v>8</v>
      </c>
      <c r="E452" s="1">
        <v>46042</v>
      </c>
      <c r="F452">
        <v>722.61</v>
      </c>
      <c r="G452">
        <v>375757.2</v>
      </c>
      <c r="H452">
        <v>6</v>
      </c>
      <c r="I452">
        <v>4</v>
      </c>
    </row>
    <row r="453" spans="1:9" x14ac:dyDescent="0.3">
      <c r="A453">
        <v>2511</v>
      </c>
      <c r="B453">
        <v>13</v>
      </c>
      <c r="C453">
        <v>12</v>
      </c>
      <c r="D453">
        <v>8</v>
      </c>
      <c r="E453" s="1">
        <v>46043</v>
      </c>
      <c r="F453">
        <v>856.4</v>
      </c>
      <c r="G453">
        <v>445328</v>
      </c>
      <c r="H453">
        <v>4</v>
      </c>
      <c r="I453">
        <v>4</v>
      </c>
    </row>
    <row r="454" spans="1:9" x14ac:dyDescent="0.3">
      <c r="A454">
        <v>2512</v>
      </c>
      <c r="B454">
        <v>16</v>
      </c>
      <c r="C454">
        <v>12</v>
      </c>
      <c r="D454">
        <v>8</v>
      </c>
      <c r="E454" s="1">
        <v>46104</v>
      </c>
      <c r="F454">
        <v>400.61</v>
      </c>
      <c r="G454">
        <v>208317.2</v>
      </c>
      <c r="H454">
        <v>5</v>
      </c>
      <c r="I454">
        <v>4</v>
      </c>
    </row>
    <row r="455" spans="1:9" x14ac:dyDescent="0.3">
      <c r="A455">
        <v>2513</v>
      </c>
      <c r="B455">
        <v>13</v>
      </c>
      <c r="C455">
        <v>12</v>
      </c>
      <c r="D455">
        <v>9</v>
      </c>
      <c r="E455" s="1">
        <v>46097</v>
      </c>
      <c r="F455">
        <v>541.76</v>
      </c>
      <c r="G455">
        <v>281715.20000000001</v>
      </c>
      <c r="H455">
        <v>6</v>
      </c>
      <c r="I455">
        <v>6</v>
      </c>
    </row>
    <row r="456" spans="1:9" x14ac:dyDescent="0.3">
      <c r="A456">
        <v>2514</v>
      </c>
      <c r="B456">
        <v>14</v>
      </c>
      <c r="C456">
        <v>12</v>
      </c>
      <c r="D456">
        <v>9</v>
      </c>
      <c r="E456" s="1">
        <v>46088</v>
      </c>
      <c r="F456">
        <v>986.2</v>
      </c>
      <c r="G456">
        <v>512824</v>
      </c>
      <c r="H456">
        <v>8</v>
      </c>
      <c r="I456">
        <v>6</v>
      </c>
    </row>
    <row r="457" spans="1:9" x14ac:dyDescent="0.3">
      <c r="A457">
        <v>2515</v>
      </c>
      <c r="B457">
        <v>12</v>
      </c>
      <c r="C457">
        <v>12</v>
      </c>
      <c r="D457">
        <v>9</v>
      </c>
      <c r="E457" s="1">
        <v>46103</v>
      </c>
      <c r="F457">
        <v>784</v>
      </c>
      <c r="G457">
        <v>407680</v>
      </c>
      <c r="H457">
        <v>5</v>
      </c>
      <c r="I457">
        <v>6</v>
      </c>
    </row>
    <row r="458" spans="1:9" x14ac:dyDescent="0.3">
      <c r="A458">
        <v>2516</v>
      </c>
      <c r="B458">
        <v>23</v>
      </c>
      <c r="C458">
        <v>12</v>
      </c>
      <c r="D458">
        <v>9</v>
      </c>
      <c r="E458" s="1">
        <v>46064</v>
      </c>
      <c r="F458">
        <v>825.32</v>
      </c>
      <c r="G458">
        <v>429166.4</v>
      </c>
      <c r="H458">
        <v>6</v>
      </c>
      <c r="I458">
        <v>6</v>
      </c>
    </row>
    <row r="459" spans="1:9" x14ac:dyDescent="0.3">
      <c r="A459">
        <v>2517</v>
      </c>
      <c r="B459">
        <v>5</v>
      </c>
      <c r="C459">
        <v>12</v>
      </c>
      <c r="D459">
        <v>9</v>
      </c>
      <c r="E459" s="1">
        <v>46060</v>
      </c>
      <c r="F459">
        <v>691.48</v>
      </c>
      <c r="G459">
        <v>359569.6</v>
      </c>
      <c r="H459">
        <v>6</v>
      </c>
      <c r="I459">
        <v>6</v>
      </c>
    </row>
    <row r="460" spans="1:9" x14ac:dyDescent="0.3">
      <c r="A460">
        <v>2518</v>
      </c>
      <c r="B460">
        <v>21</v>
      </c>
      <c r="C460">
        <v>12</v>
      </c>
      <c r="D460">
        <v>9</v>
      </c>
      <c r="E460" s="1">
        <v>46099</v>
      </c>
      <c r="F460">
        <v>614.73</v>
      </c>
      <c r="G460">
        <v>319659.59999999998</v>
      </c>
      <c r="H460">
        <v>5</v>
      </c>
      <c r="I460">
        <v>6</v>
      </c>
    </row>
    <row r="461" spans="1:9" x14ac:dyDescent="0.3">
      <c r="A461">
        <v>2519</v>
      </c>
      <c r="B461">
        <v>7</v>
      </c>
      <c r="C461">
        <v>12</v>
      </c>
      <c r="D461">
        <v>9</v>
      </c>
      <c r="E461" s="1">
        <v>46067</v>
      </c>
      <c r="F461">
        <v>925.76</v>
      </c>
      <c r="G461">
        <v>481395.20000000001</v>
      </c>
      <c r="H461">
        <v>6</v>
      </c>
      <c r="I461">
        <v>6</v>
      </c>
    </row>
    <row r="462" spans="1:9" x14ac:dyDescent="0.3">
      <c r="A462">
        <v>2520</v>
      </c>
      <c r="B462">
        <v>3</v>
      </c>
      <c r="C462">
        <v>12</v>
      </c>
      <c r="D462">
        <v>10</v>
      </c>
      <c r="E462" s="1">
        <v>46037</v>
      </c>
      <c r="F462">
        <v>964.27</v>
      </c>
      <c r="G462">
        <v>501420.4</v>
      </c>
      <c r="H462">
        <v>5</v>
      </c>
      <c r="I462">
        <v>6</v>
      </c>
    </row>
    <row r="463" spans="1:9" x14ac:dyDescent="0.3">
      <c r="A463">
        <v>2521</v>
      </c>
      <c r="B463">
        <v>13</v>
      </c>
      <c r="C463">
        <v>12</v>
      </c>
      <c r="D463">
        <v>10</v>
      </c>
      <c r="E463" s="1">
        <v>46101</v>
      </c>
      <c r="F463">
        <v>666.12</v>
      </c>
      <c r="G463">
        <v>346382.4</v>
      </c>
      <c r="H463">
        <v>4</v>
      </c>
      <c r="I463">
        <v>6</v>
      </c>
    </row>
    <row r="464" spans="1:9" x14ac:dyDescent="0.3">
      <c r="A464">
        <v>2522</v>
      </c>
      <c r="B464">
        <v>21</v>
      </c>
      <c r="C464">
        <v>12</v>
      </c>
      <c r="D464">
        <v>10</v>
      </c>
      <c r="E464" s="1">
        <v>46053</v>
      </c>
      <c r="F464">
        <v>729.17</v>
      </c>
      <c r="G464">
        <v>379168.4</v>
      </c>
      <c r="H464">
        <v>6</v>
      </c>
      <c r="I464">
        <v>6</v>
      </c>
    </row>
    <row r="465" spans="1:9" x14ac:dyDescent="0.3">
      <c r="A465">
        <v>2523</v>
      </c>
      <c r="B465">
        <v>6</v>
      </c>
      <c r="C465">
        <v>13</v>
      </c>
      <c r="D465">
        <v>1</v>
      </c>
      <c r="E465" s="1">
        <v>46069</v>
      </c>
      <c r="F465">
        <v>440.08</v>
      </c>
      <c r="G465">
        <v>268448.8</v>
      </c>
      <c r="H465">
        <v>6</v>
      </c>
      <c r="I465">
        <v>6</v>
      </c>
    </row>
    <row r="466" spans="1:9" x14ac:dyDescent="0.3">
      <c r="A466">
        <v>2524</v>
      </c>
      <c r="B466">
        <v>15</v>
      </c>
      <c r="C466">
        <v>13</v>
      </c>
      <c r="D466">
        <v>1</v>
      </c>
      <c r="E466" s="1">
        <v>46073</v>
      </c>
      <c r="F466">
        <v>570.24</v>
      </c>
      <c r="G466">
        <v>347846.40000000002</v>
      </c>
      <c r="H466">
        <v>4</v>
      </c>
      <c r="I466">
        <v>6</v>
      </c>
    </row>
    <row r="467" spans="1:9" x14ac:dyDescent="0.3">
      <c r="A467">
        <v>2525</v>
      </c>
      <c r="B467">
        <v>25</v>
      </c>
      <c r="C467">
        <v>13</v>
      </c>
      <c r="D467">
        <v>1</v>
      </c>
      <c r="E467" s="1">
        <v>46044</v>
      </c>
      <c r="F467">
        <v>167.59</v>
      </c>
      <c r="G467">
        <v>102229.9</v>
      </c>
      <c r="H467">
        <v>4</v>
      </c>
      <c r="I467">
        <v>6</v>
      </c>
    </row>
    <row r="468" spans="1:9" x14ac:dyDescent="0.3">
      <c r="A468">
        <v>2526</v>
      </c>
      <c r="B468">
        <v>14</v>
      </c>
      <c r="C468">
        <v>13</v>
      </c>
      <c r="D468">
        <v>1</v>
      </c>
      <c r="E468" s="1">
        <v>46067</v>
      </c>
      <c r="F468">
        <v>331.87</v>
      </c>
      <c r="G468">
        <v>202440.7</v>
      </c>
      <c r="H468">
        <v>6</v>
      </c>
      <c r="I468">
        <v>6</v>
      </c>
    </row>
    <row r="469" spans="1:9" x14ac:dyDescent="0.3">
      <c r="A469">
        <v>2527</v>
      </c>
      <c r="B469">
        <v>22</v>
      </c>
      <c r="C469">
        <v>13</v>
      </c>
      <c r="D469">
        <v>2</v>
      </c>
      <c r="E469" s="1">
        <v>46032</v>
      </c>
      <c r="F469">
        <v>922.23</v>
      </c>
      <c r="G469">
        <v>562560.30000000005</v>
      </c>
      <c r="H469">
        <v>4</v>
      </c>
      <c r="I469">
        <v>4</v>
      </c>
    </row>
    <row r="470" spans="1:9" x14ac:dyDescent="0.3">
      <c r="A470">
        <v>2528</v>
      </c>
      <c r="B470">
        <v>14</v>
      </c>
      <c r="C470">
        <v>13</v>
      </c>
      <c r="D470">
        <v>2</v>
      </c>
      <c r="E470" s="1">
        <v>46110</v>
      </c>
      <c r="F470">
        <v>406.49</v>
      </c>
      <c r="G470">
        <v>247958.9</v>
      </c>
      <c r="H470">
        <v>6</v>
      </c>
      <c r="I470">
        <v>4</v>
      </c>
    </row>
    <row r="471" spans="1:9" x14ac:dyDescent="0.3">
      <c r="A471">
        <v>2529</v>
      </c>
      <c r="B471">
        <v>22</v>
      </c>
      <c r="C471">
        <v>13</v>
      </c>
      <c r="D471">
        <v>3</v>
      </c>
      <c r="E471" s="1">
        <v>46069</v>
      </c>
      <c r="F471">
        <v>775.57</v>
      </c>
      <c r="G471">
        <v>473097.7</v>
      </c>
      <c r="H471">
        <v>4</v>
      </c>
      <c r="I471">
        <v>4</v>
      </c>
    </row>
    <row r="472" spans="1:9" x14ac:dyDescent="0.3">
      <c r="A472">
        <v>2530</v>
      </c>
      <c r="B472">
        <v>6</v>
      </c>
      <c r="C472">
        <v>13</v>
      </c>
      <c r="D472">
        <v>3</v>
      </c>
      <c r="E472" s="1">
        <v>46032</v>
      </c>
      <c r="F472">
        <v>895.8</v>
      </c>
      <c r="G472">
        <v>546438</v>
      </c>
      <c r="H472">
        <v>3</v>
      </c>
      <c r="I472">
        <v>4</v>
      </c>
    </row>
    <row r="473" spans="1:9" x14ac:dyDescent="0.3">
      <c r="A473">
        <v>2531</v>
      </c>
      <c r="B473">
        <v>5</v>
      </c>
      <c r="C473">
        <v>13</v>
      </c>
      <c r="D473">
        <v>4</v>
      </c>
      <c r="E473" s="1">
        <v>46101</v>
      </c>
      <c r="F473">
        <v>361.61</v>
      </c>
      <c r="G473">
        <v>220582.1</v>
      </c>
      <c r="H473">
        <v>5</v>
      </c>
      <c r="I473">
        <v>6</v>
      </c>
    </row>
    <row r="474" spans="1:9" x14ac:dyDescent="0.3">
      <c r="A474">
        <v>2532</v>
      </c>
      <c r="B474">
        <v>3</v>
      </c>
      <c r="C474">
        <v>13</v>
      </c>
      <c r="D474">
        <v>4</v>
      </c>
      <c r="E474" s="1">
        <v>46023</v>
      </c>
      <c r="F474">
        <v>913.85</v>
      </c>
      <c r="G474">
        <v>557448.5</v>
      </c>
      <c r="H474">
        <v>4</v>
      </c>
      <c r="I474">
        <v>6</v>
      </c>
    </row>
    <row r="475" spans="1:9" x14ac:dyDescent="0.3">
      <c r="A475">
        <v>2533</v>
      </c>
      <c r="B475">
        <v>12</v>
      </c>
      <c r="C475">
        <v>13</v>
      </c>
      <c r="D475">
        <v>4</v>
      </c>
      <c r="E475" s="1">
        <v>46102</v>
      </c>
      <c r="F475">
        <v>459.84</v>
      </c>
      <c r="G475">
        <v>280502.40000000002</v>
      </c>
      <c r="H475">
        <v>9</v>
      </c>
      <c r="I475">
        <v>6</v>
      </c>
    </row>
    <row r="476" spans="1:9" x14ac:dyDescent="0.3">
      <c r="A476">
        <v>2534</v>
      </c>
      <c r="B476">
        <v>4</v>
      </c>
      <c r="C476">
        <v>13</v>
      </c>
      <c r="D476">
        <v>4</v>
      </c>
      <c r="E476" s="1">
        <v>46027</v>
      </c>
      <c r="F476">
        <v>188.29</v>
      </c>
      <c r="G476">
        <v>114856.9</v>
      </c>
      <c r="H476">
        <v>4</v>
      </c>
      <c r="I476">
        <v>6</v>
      </c>
    </row>
    <row r="477" spans="1:9" x14ac:dyDescent="0.3">
      <c r="A477">
        <v>2535</v>
      </c>
      <c r="B477">
        <v>22</v>
      </c>
      <c r="C477">
        <v>13</v>
      </c>
      <c r="D477">
        <v>4</v>
      </c>
      <c r="E477" s="1">
        <v>46103</v>
      </c>
      <c r="F477">
        <v>432.15</v>
      </c>
      <c r="G477">
        <v>263611.5</v>
      </c>
      <c r="H477">
        <v>8</v>
      </c>
      <c r="I477">
        <v>6</v>
      </c>
    </row>
    <row r="478" spans="1:9" x14ac:dyDescent="0.3">
      <c r="A478">
        <v>2536</v>
      </c>
      <c r="B478">
        <v>21</v>
      </c>
      <c r="C478">
        <v>13</v>
      </c>
      <c r="D478">
        <v>4</v>
      </c>
      <c r="E478" s="1">
        <v>46097</v>
      </c>
      <c r="F478">
        <v>223.89</v>
      </c>
      <c r="G478">
        <v>136572.9</v>
      </c>
      <c r="H478">
        <v>4</v>
      </c>
      <c r="I478">
        <v>6</v>
      </c>
    </row>
    <row r="479" spans="1:9" x14ac:dyDescent="0.3">
      <c r="A479">
        <v>2537</v>
      </c>
      <c r="B479">
        <v>20</v>
      </c>
      <c r="C479">
        <v>13</v>
      </c>
      <c r="D479">
        <v>4</v>
      </c>
      <c r="E479" s="1">
        <v>46098</v>
      </c>
      <c r="F479">
        <v>299.33</v>
      </c>
      <c r="G479">
        <v>182591.3</v>
      </c>
      <c r="H479">
        <v>5</v>
      </c>
      <c r="I479">
        <v>6</v>
      </c>
    </row>
    <row r="480" spans="1:9" x14ac:dyDescent="0.3">
      <c r="A480">
        <v>2538</v>
      </c>
      <c r="B480">
        <v>11</v>
      </c>
      <c r="C480">
        <v>13</v>
      </c>
      <c r="D480">
        <v>5</v>
      </c>
      <c r="E480" s="1">
        <v>46056</v>
      </c>
      <c r="F480">
        <v>622.75</v>
      </c>
      <c r="G480">
        <v>379877.5</v>
      </c>
      <c r="H480">
        <v>6</v>
      </c>
      <c r="I480">
        <v>6</v>
      </c>
    </row>
    <row r="481" spans="1:9" x14ac:dyDescent="0.3">
      <c r="A481">
        <v>2539</v>
      </c>
      <c r="B481">
        <v>22</v>
      </c>
      <c r="C481">
        <v>13</v>
      </c>
      <c r="D481">
        <v>5</v>
      </c>
      <c r="E481" s="1">
        <v>46029</v>
      </c>
      <c r="F481">
        <v>238.18</v>
      </c>
      <c r="G481">
        <v>145289.79999999999</v>
      </c>
      <c r="H481">
        <v>5</v>
      </c>
      <c r="I481">
        <v>6</v>
      </c>
    </row>
    <row r="482" spans="1:9" x14ac:dyDescent="0.3">
      <c r="A482">
        <v>2540</v>
      </c>
      <c r="B482">
        <v>12</v>
      </c>
      <c r="C482">
        <v>13</v>
      </c>
      <c r="D482">
        <v>6</v>
      </c>
      <c r="E482" s="1">
        <v>46082</v>
      </c>
      <c r="F482">
        <v>742.78</v>
      </c>
      <c r="G482">
        <v>453095.8</v>
      </c>
      <c r="H482">
        <v>4</v>
      </c>
      <c r="I482">
        <v>6</v>
      </c>
    </row>
    <row r="483" spans="1:9" x14ac:dyDescent="0.3">
      <c r="A483">
        <v>2541</v>
      </c>
      <c r="B483">
        <v>4</v>
      </c>
      <c r="C483">
        <v>13</v>
      </c>
      <c r="D483">
        <v>6</v>
      </c>
      <c r="E483" s="1">
        <v>46102</v>
      </c>
      <c r="F483">
        <v>717.83</v>
      </c>
      <c r="G483">
        <v>437876.3</v>
      </c>
      <c r="H483">
        <v>4</v>
      </c>
      <c r="I483">
        <v>6</v>
      </c>
    </row>
    <row r="484" spans="1:9" x14ac:dyDescent="0.3">
      <c r="A484">
        <v>2542</v>
      </c>
      <c r="B484">
        <v>11</v>
      </c>
      <c r="C484">
        <v>13</v>
      </c>
      <c r="D484">
        <v>6</v>
      </c>
      <c r="E484" s="1">
        <v>46095</v>
      </c>
      <c r="F484">
        <v>440.68</v>
      </c>
      <c r="G484">
        <v>268814.8</v>
      </c>
      <c r="H484">
        <v>5</v>
      </c>
      <c r="I484">
        <v>6</v>
      </c>
    </row>
    <row r="485" spans="1:9" x14ac:dyDescent="0.3">
      <c r="A485">
        <v>2543</v>
      </c>
      <c r="B485">
        <v>2</v>
      </c>
      <c r="C485">
        <v>13</v>
      </c>
      <c r="D485">
        <v>6</v>
      </c>
      <c r="E485" s="1">
        <v>46093</v>
      </c>
      <c r="F485">
        <v>414.98</v>
      </c>
      <c r="G485">
        <v>253137.8</v>
      </c>
      <c r="H485">
        <v>6</v>
      </c>
      <c r="I485">
        <v>6</v>
      </c>
    </row>
    <row r="486" spans="1:9" x14ac:dyDescent="0.3">
      <c r="A486">
        <v>2544</v>
      </c>
      <c r="B486">
        <v>11</v>
      </c>
      <c r="C486">
        <v>13</v>
      </c>
      <c r="D486">
        <v>6</v>
      </c>
      <c r="E486" s="1">
        <v>46029</v>
      </c>
      <c r="F486">
        <v>650.08000000000004</v>
      </c>
      <c r="G486">
        <v>396548.8</v>
      </c>
      <c r="H486">
        <v>8</v>
      </c>
      <c r="I486">
        <v>6</v>
      </c>
    </row>
    <row r="487" spans="1:9" x14ac:dyDescent="0.3">
      <c r="A487">
        <v>2545</v>
      </c>
      <c r="B487">
        <v>9</v>
      </c>
      <c r="C487">
        <v>13</v>
      </c>
      <c r="D487">
        <v>6</v>
      </c>
      <c r="E487" s="1">
        <v>46035</v>
      </c>
      <c r="F487">
        <v>937.44</v>
      </c>
      <c r="G487">
        <v>571838.4</v>
      </c>
      <c r="H487">
        <v>6</v>
      </c>
      <c r="I487">
        <v>6</v>
      </c>
    </row>
    <row r="488" spans="1:9" x14ac:dyDescent="0.3">
      <c r="A488">
        <v>2546</v>
      </c>
      <c r="B488">
        <v>20</v>
      </c>
      <c r="C488">
        <v>13</v>
      </c>
      <c r="D488">
        <v>6</v>
      </c>
      <c r="E488" s="1">
        <v>46101</v>
      </c>
      <c r="F488">
        <v>711</v>
      </c>
      <c r="G488">
        <v>433710</v>
      </c>
      <c r="H488">
        <v>4</v>
      </c>
      <c r="I488">
        <v>6</v>
      </c>
    </row>
    <row r="489" spans="1:9" x14ac:dyDescent="0.3">
      <c r="A489">
        <v>2547</v>
      </c>
      <c r="B489">
        <v>4</v>
      </c>
      <c r="C489">
        <v>13</v>
      </c>
      <c r="D489">
        <v>7</v>
      </c>
      <c r="E489" s="1">
        <v>46029</v>
      </c>
      <c r="F489">
        <v>566.39</v>
      </c>
      <c r="G489">
        <v>345497.9</v>
      </c>
      <c r="H489">
        <v>4</v>
      </c>
      <c r="I489">
        <v>4</v>
      </c>
    </row>
    <row r="490" spans="1:9" x14ac:dyDescent="0.3">
      <c r="A490">
        <v>2548</v>
      </c>
      <c r="B490">
        <v>1</v>
      </c>
      <c r="C490">
        <v>13</v>
      </c>
      <c r="D490">
        <v>8</v>
      </c>
      <c r="E490" s="1">
        <v>46106</v>
      </c>
      <c r="F490">
        <v>427.36</v>
      </c>
      <c r="G490">
        <v>260689.6</v>
      </c>
      <c r="H490">
        <v>3</v>
      </c>
      <c r="I490">
        <v>4</v>
      </c>
    </row>
    <row r="491" spans="1:9" x14ac:dyDescent="0.3">
      <c r="A491">
        <v>2549</v>
      </c>
      <c r="B491">
        <v>9</v>
      </c>
      <c r="C491">
        <v>13</v>
      </c>
      <c r="D491">
        <v>8</v>
      </c>
      <c r="E491" s="1">
        <v>46084</v>
      </c>
      <c r="F491">
        <v>397.38</v>
      </c>
      <c r="G491">
        <v>242401.8</v>
      </c>
      <c r="H491">
        <v>4</v>
      </c>
      <c r="I491">
        <v>4</v>
      </c>
    </row>
    <row r="492" spans="1:9" x14ac:dyDescent="0.3">
      <c r="A492">
        <v>2550</v>
      </c>
      <c r="B492">
        <v>19</v>
      </c>
      <c r="C492">
        <v>13</v>
      </c>
      <c r="D492">
        <v>8</v>
      </c>
      <c r="E492" s="1">
        <v>46112</v>
      </c>
      <c r="F492">
        <v>607.30999999999995</v>
      </c>
      <c r="G492">
        <v>370459.1</v>
      </c>
      <c r="H492">
        <v>4</v>
      </c>
      <c r="I492">
        <v>4</v>
      </c>
    </row>
    <row r="493" spans="1:9" x14ac:dyDescent="0.3">
      <c r="A493">
        <v>2551</v>
      </c>
      <c r="B493">
        <v>8</v>
      </c>
      <c r="C493">
        <v>13</v>
      </c>
      <c r="D493">
        <v>8</v>
      </c>
      <c r="E493" s="1">
        <v>46031</v>
      </c>
      <c r="F493">
        <v>245.65</v>
      </c>
      <c r="G493">
        <v>149846.5</v>
      </c>
      <c r="H493">
        <v>4</v>
      </c>
      <c r="I493">
        <v>4</v>
      </c>
    </row>
    <row r="494" spans="1:9" x14ac:dyDescent="0.3">
      <c r="A494">
        <v>2552</v>
      </c>
      <c r="B494">
        <v>17</v>
      </c>
      <c r="C494">
        <v>13</v>
      </c>
      <c r="D494">
        <v>8</v>
      </c>
      <c r="E494" s="1">
        <v>46109</v>
      </c>
      <c r="F494">
        <v>558.20000000000005</v>
      </c>
      <c r="G494">
        <v>340502</v>
      </c>
      <c r="H494">
        <v>5</v>
      </c>
      <c r="I494">
        <v>4</v>
      </c>
    </row>
    <row r="495" spans="1:9" x14ac:dyDescent="0.3">
      <c r="A495">
        <v>2553</v>
      </c>
      <c r="B495">
        <v>8</v>
      </c>
      <c r="C495">
        <v>13</v>
      </c>
      <c r="D495">
        <v>9</v>
      </c>
      <c r="E495" s="1">
        <v>46060</v>
      </c>
      <c r="F495">
        <v>544.16999999999996</v>
      </c>
      <c r="G495">
        <v>331943.7</v>
      </c>
      <c r="H495">
        <v>6</v>
      </c>
      <c r="I495">
        <v>6</v>
      </c>
    </row>
    <row r="496" spans="1:9" x14ac:dyDescent="0.3">
      <c r="A496">
        <v>2554</v>
      </c>
      <c r="B496">
        <v>15</v>
      </c>
      <c r="C496">
        <v>13</v>
      </c>
      <c r="D496">
        <v>10</v>
      </c>
      <c r="E496" s="1">
        <v>46101</v>
      </c>
      <c r="F496">
        <v>591.91999999999996</v>
      </c>
      <c r="G496">
        <v>361071.2</v>
      </c>
      <c r="H496">
        <v>6</v>
      </c>
      <c r="I496">
        <v>6</v>
      </c>
    </row>
    <row r="497" spans="1:9" x14ac:dyDescent="0.3">
      <c r="A497">
        <v>2555</v>
      </c>
      <c r="B497">
        <v>7</v>
      </c>
      <c r="C497">
        <v>13</v>
      </c>
      <c r="D497">
        <v>10</v>
      </c>
      <c r="E497" s="1">
        <v>46111</v>
      </c>
      <c r="F497">
        <v>128.57</v>
      </c>
      <c r="G497">
        <v>78427.7</v>
      </c>
      <c r="H497">
        <v>6</v>
      </c>
      <c r="I497">
        <v>6</v>
      </c>
    </row>
    <row r="498" spans="1:9" x14ac:dyDescent="0.3">
      <c r="A498">
        <v>2556</v>
      </c>
      <c r="B498">
        <v>15</v>
      </c>
      <c r="C498">
        <v>13</v>
      </c>
      <c r="D498">
        <v>10</v>
      </c>
      <c r="E498" s="1">
        <v>46095</v>
      </c>
      <c r="F498">
        <v>336.19</v>
      </c>
      <c r="G498">
        <v>205075.9</v>
      </c>
      <c r="H498">
        <v>8</v>
      </c>
      <c r="I498">
        <v>6</v>
      </c>
    </row>
    <row r="499" spans="1:9" x14ac:dyDescent="0.3">
      <c r="A499">
        <v>2557</v>
      </c>
      <c r="B499">
        <v>15</v>
      </c>
      <c r="C499">
        <v>13</v>
      </c>
      <c r="D499">
        <v>10</v>
      </c>
      <c r="E499" s="1">
        <v>46092</v>
      </c>
      <c r="F499">
        <v>169.87</v>
      </c>
      <c r="G499">
        <v>103620.7</v>
      </c>
      <c r="H499">
        <v>6</v>
      </c>
      <c r="I499">
        <v>6</v>
      </c>
    </row>
    <row r="500" spans="1:9" x14ac:dyDescent="0.3">
      <c r="A500">
        <v>2558</v>
      </c>
      <c r="B500">
        <v>23</v>
      </c>
      <c r="C500">
        <v>13</v>
      </c>
      <c r="D500">
        <v>10</v>
      </c>
      <c r="E500" s="1">
        <v>46099</v>
      </c>
      <c r="F500">
        <v>496.44</v>
      </c>
      <c r="G500">
        <v>302828.40000000002</v>
      </c>
      <c r="H500">
        <v>4</v>
      </c>
      <c r="I500">
        <v>6</v>
      </c>
    </row>
    <row r="501" spans="1:9" x14ac:dyDescent="0.3">
      <c r="A501">
        <v>2559</v>
      </c>
      <c r="B501">
        <v>17</v>
      </c>
      <c r="C501">
        <v>13</v>
      </c>
      <c r="D501">
        <v>10</v>
      </c>
      <c r="E501" s="1">
        <v>46083</v>
      </c>
      <c r="F501">
        <v>635.66</v>
      </c>
      <c r="G501">
        <v>387752.6</v>
      </c>
      <c r="H501">
        <v>4</v>
      </c>
      <c r="I501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2741-5162-44A0-8CBB-EF17A98E8EB6}">
  <dimension ref="A1:D14"/>
  <sheetViews>
    <sheetView workbookViewId="0">
      <selection sqref="A1:D1"/>
    </sheetView>
  </sheetViews>
  <sheetFormatPr defaultRowHeight="14.4" x14ac:dyDescent="0.3"/>
  <cols>
    <col min="1" max="1" width="12.109375" customWidth="1"/>
    <col min="2" max="2" width="15.33203125" customWidth="1"/>
    <col min="3" max="3" width="10.21875" customWidth="1"/>
    <col min="4" max="4" width="15.109375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>
        <v>1</v>
      </c>
      <c r="B2" t="s">
        <v>19</v>
      </c>
      <c r="C2" t="s">
        <v>20</v>
      </c>
      <c r="D2">
        <v>105.5</v>
      </c>
    </row>
    <row r="3" spans="1:4" x14ac:dyDescent="0.3">
      <c r="A3">
        <v>2</v>
      </c>
      <c r="B3" t="s">
        <v>21</v>
      </c>
      <c r="C3" t="s">
        <v>20</v>
      </c>
      <c r="D3">
        <v>92.3</v>
      </c>
    </row>
    <row r="4" spans="1:4" x14ac:dyDescent="0.3">
      <c r="A4">
        <v>3</v>
      </c>
      <c r="B4" t="s">
        <v>22</v>
      </c>
      <c r="C4" t="s">
        <v>20</v>
      </c>
      <c r="D4">
        <v>112.75</v>
      </c>
    </row>
    <row r="5" spans="1:4" x14ac:dyDescent="0.3">
      <c r="A5">
        <v>4</v>
      </c>
      <c r="B5" t="s">
        <v>23</v>
      </c>
      <c r="C5" t="s">
        <v>24</v>
      </c>
      <c r="D5">
        <v>450</v>
      </c>
    </row>
    <row r="6" spans="1:4" x14ac:dyDescent="0.3">
      <c r="A6">
        <v>5</v>
      </c>
      <c r="B6" t="s">
        <v>25</v>
      </c>
      <c r="C6" t="s">
        <v>24</v>
      </c>
      <c r="D6">
        <v>320</v>
      </c>
    </row>
    <row r="7" spans="1:4" x14ac:dyDescent="0.3">
      <c r="A7">
        <v>6</v>
      </c>
      <c r="B7" t="s">
        <v>26</v>
      </c>
      <c r="C7" t="s">
        <v>20</v>
      </c>
      <c r="D7">
        <v>94.5</v>
      </c>
    </row>
    <row r="8" spans="1:4" x14ac:dyDescent="0.3">
      <c r="A8">
        <v>7</v>
      </c>
      <c r="B8" t="s">
        <v>27</v>
      </c>
      <c r="C8" t="s">
        <v>20</v>
      </c>
      <c r="D8">
        <v>89.75</v>
      </c>
    </row>
    <row r="9" spans="1:4" x14ac:dyDescent="0.3">
      <c r="A9">
        <v>8</v>
      </c>
      <c r="B9" t="s">
        <v>28</v>
      </c>
      <c r="C9" t="s">
        <v>20</v>
      </c>
      <c r="D9">
        <v>128</v>
      </c>
    </row>
    <row r="10" spans="1:4" x14ac:dyDescent="0.3">
      <c r="A10">
        <v>9</v>
      </c>
      <c r="B10" t="s">
        <v>29</v>
      </c>
      <c r="C10" t="s">
        <v>30</v>
      </c>
      <c r="D10">
        <v>78.400000000000006</v>
      </c>
    </row>
    <row r="11" spans="1:4" x14ac:dyDescent="0.3">
      <c r="A11">
        <v>10</v>
      </c>
      <c r="B11" t="s">
        <v>31</v>
      </c>
      <c r="C11" t="s">
        <v>30</v>
      </c>
      <c r="D11">
        <v>950</v>
      </c>
    </row>
    <row r="12" spans="1:4" x14ac:dyDescent="0.3">
      <c r="A12">
        <v>11</v>
      </c>
      <c r="B12" t="s">
        <v>32</v>
      </c>
      <c r="C12" t="s">
        <v>24</v>
      </c>
      <c r="D12">
        <v>380</v>
      </c>
    </row>
    <row r="13" spans="1:4" x14ac:dyDescent="0.3">
      <c r="A13">
        <v>12</v>
      </c>
      <c r="B13" t="s">
        <v>33</v>
      </c>
      <c r="C13" t="s">
        <v>24</v>
      </c>
      <c r="D13">
        <v>520</v>
      </c>
    </row>
    <row r="14" spans="1:4" x14ac:dyDescent="0.3">
      <c r="A14">
        <v>13</v>
      </c>
      <c r="B14" t="s">
        <v>34</v>
      </c>
      <c r="C14" t="s">
        <v>24</v>
      </c>
      <c r="D14">
        <v>610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5A9E-ACB4-4574-8B9F-C66B2A80CE7A}">
  <dimension ref="A1:D11"/>
  <sheetViews>
    <sheetView workbookViewId="0"/>
  </sheetViews>
  <sheetFormatPr defaultRowHeight="14.4" x14ac:dyDescent="0.3"/>
  <cols>
    <col min="1" max="1" width="10" customWidth="1"/>
    <col min="2" max="2" width="13.21875" customWidth="1"/>
    <col min="3" max="3" width="13.5546875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 t="s">
        <v>8</v>
      </c>
      <c r="C2">
        <v>25.5</v>
      </c>
      <c r="D2" t="s">
        <v>9</v>
      </c>
    </row>
    <row r="3" spans="1:4" x14ac:dyDescent="0.3">
      <c r="A3">
        <v>2</v>
      </c>
      <c r="B3" t="s">
        <v>10</v>
      </c>
      <c r="C3">
        <v>18.2</v>
      </c>
      <c r="D3" t="s">
        <v>9</v>
      </c>
    </row>
    <row r="4" spans="1:4" x14ac:dyDescent="0.3">
      <c r="A4">
        <v>3</v>
      </c>
      <c r="B4" t="s">
        <v>11</v>
      </c>
      <c r="C4">
        <v>12.75</v>
      </c>
      <c r="D4" t="s">
        <v>9</v>
      </c>
    </row>
    <row r="5" spans="1:4" x14ac:dyDescent="0.3">
      <c r="A5">
        <v>4</v>
      </c>
      <c r="B5" t="s">
        <v>12</v>
      </c>
      <c r="C5">
        <v>30.4</v>
      </c>
      <c r="D5" t="s">
        <v>13</v>
      </c>
    </row>
    <row r="6" spans="1:4" x14ac:dyDescent="0.3">
      <c r="A6">
        <v>5</v>
      </c>
      <c r="B6" t="s">
        <v>14</v>
      </c>
      <c r="C6">
        <v>22.9</v>
      </c>
      <c r="D6" t="s">
        <v>13</v>
      </c>
    </row>
    <row r="7" spans="1:4" x14ac:dyDescent="0.3">
      <c r="A7">
        <v>6</v>
      </c>
      <c r="B7" t="s">
        <v>8</v>
      </c>
      <c r="C7">
        <v>25.5</v>
      </c>
      <c r="D7" t="s">
        <v>9</v>
      </c>
    </row>
    <row r="8" spans="1:4" x14ac:dyDescent="0.3">
      <c r="A8">
        <v>7</v>
      </c>
      <c r="B8" t="s">
        <v>10</v>
      </c>
      <c r="C8">
        <v>18.2</v>
      </c>
      <c r="D8" t="s">
        <v>9</v>
      </c>
    </row>
    <row r="9" spans="1:4" x14ac:dyDescent="0.3">
      <c r="A9">
        <v>8</v>
      </c>
      <c r="B9" t="s">
        <v>11</v>
      </c>
      <c r="C9">
        <v>12.75</v>
      </c>
      <c r="D9" t="s">
        <v>9</v>
      </c>
    </row>
    <row r="10" spans="1:4" x14ac:dyDescent="0.3">
      <c r="A10">
        <v>9</v>
      </c>
      <c r="B10" t="s">
        <v>12</v>
      </c>
      <c r="C10">
        <v>30.4</v>
      </c>
      <c r="D10" t="s">
        <v>13</v>
      </c>
    </row>
    <row r="11" spans="1:4" x14ac:dyDescent="0.3">
      <c r="A11">
        <v>10</v>
      </c>
      <c r="B11" t="s">
        <v>14</v>
      </c>
      <c r="C11">
        <v>22.9</v>
      </c>
      <c r="D11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65B8-8FF4-4D68-8532-7E07A49B8DE2}">
  <dimension ref="A1:D27"/>
  <sheetViews>
    <sheetView workbookViewId="0"/>
  </sheetViews>
  <sheetFormatPr defaultRowHeight="14.4" x14ac:dyDescent="0.3"/>
  <cols>
    <col min="1" max="1" width="10.44140625" customWidth="1"/>
    <col min="2" max="2" width="10.6640625" customWidth="1"/>
    <col min="3" max="3" width="10.33203125" bestFit="1" customWidth="1"/>
    <col min="4" max="4" width="15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68</v>
      </c>
      <c r="B2">
        <v>1</v>
      </c>
      <c r="C2" s="1">
        <v>46023</v>
      </c>
      <c r="D2">
        <v>3582158.6</v>
      </c>
    </row>
    <row r="3" spans="1:4" x14ac:dyDescent="0.3">
      <c r="A3">
        <v>69</v>
      </c>
      <c r="B3">
        <v>2</v>
      </c>
      <c r="C3" s="1">
        <v>46023</v>
      </c>
      <c r="D3">
        <v>4754188.78</v>
      </c>
    </row>
    <row r="4" spans="1:4" x14ac:dyDescent="0.3">
      <c r="A4">
        <v>70</v>
      </c>
      <c r="B4">
        <v>3</v>
      </c>
      <c r="C4" s="1">
        <v>46023</v>
      </c>
      <c r="D4">
        <v>3024468.19</v>
      </c>
    </row>
    <row r="5" spans="1:4" x14ac:dyDescent="0.3">
      <c r="A5">
        <v>71</v>
      </c>
      <c r="B5">
        <v>4</v>
      </c>
      <c r="C5" s="1">
        <v>46023</v>
      </c>
      <c r="D5">
        <v>3359774.68</v>
      </c>
    </row>
    <row r="6" spans="1:4" x14ac:dyDescent="0.3">
      <c r="A6">
        <v>72</v>
      </c>
      <c r="B6">
        <v>5</v>
      </c>
      <c r="C6" s="1">
        <v>46023</v>
      </c>
      <c r="D6">
        <v>2725468.9</v>
      </c>
    </row>
    <row r="7" spans="1:4" x14ac:dyDescent="0.3">
      <c r="A7">
        <v>73</v>
      </c>
      <c r="B7">
        <v>6</v>
      </c>
      <c r="C7" s="1">
        <v>46023</v>
      </c>
      <c r="D7">
        <v>3548020.53</v>
      </c>
    </row>
    <row r="8" spans="1:4" x14ac:dyDescent="0.3">
      <c r="A8">
        <v>74</v>
      </c>
      <c r="B8">
        <v>7</v>
      </c>
      <c r="C8" s="1">
        <v>46023</v>
      </c>
      <c r="D8">
        <v>4563696.04</v>
      </c>
    </row>
    <row r="9" spans="1:4" x14ac:dyDescent="0.3">
      <c r="A9">
        <v>75</v>
      </c>
      <c r="B9">
        <v>8</v>
      </c>
      <c r="C9" s="1">
        <v>46023</v>
      </c>
      <c r="D9">
        <v>4674418.67</v>
      </c>
    </row>
    <row r="10" spans="1:4" x14ac:dyDescent="0.3">
      <c r="A10">
        <v>76</v>
      </c>
      <c r="B10">
        <v>9</v>
      </c>
      <c r="C10" s="1">
        <v>46023</v>
      </c>
      <c r="D10">
        <v>4681005.32</v>
      </c>
    </row>
    <row r="11" spans="1:4" x14ac:dyDescent="0.3">
      <c r="A11">
        <v>77</v>
      </c>
      <c r="B11">
        <v>10</v>
      </c>
      <c r="C11" s="1">
        <v>46023</v>
      </c>
      <c r="D11">
        <v>4381770.66</v>
      </c>
    </row>
    <row r="12" spans="1:4" x14ac:dyDescent="0.3">
      <c r="A12">
        <v>78</v>
      </c>
      <c r="B12">
        <v>11</v>
      </c>
      <c r="C12" s="1">
        <v>46023</v>
      </c>
      <c r="D12">
        <v>2865837.42</v>
      </c>
    </row>
    <row r="13" spans="1:4" x14ac:dyDescent="0.3">
      <c r="A13">
        <v>79</v>
      </c>
      <c r="B13">
        <v>12</v>
      </c>
      <c r="C13" s="1">
        <v>46023</v>
      </c>
      <c r="D13">
        <v>3683875.21</v>
      </c>
    </row>
    <row r="14" spans="1:4" x14ac:dyDescent="0.3">
      <c r="A14">
        <v>80</v>
      </c>
      <c r="B14">
        <v>13</v>
      </c>
      <c r="C14" s="1">
        <v>46023</v>
      </c>
      <c r="D14">
        <v>4821863.87</v>
      </c>
    </row>
    <row r="15" spans="1:4" x14ac:dyDescent="0.3">
      <c r="A15">
        <v>81</v>
      </c>
      <c r="B15">
        <v>14</v>
      </c>
      <c r="C15" s="1">
        <v>46023</v>
      </c>
      <c r="D15">
        <v>3057693.8</v>
      </c>
    </row>
    <row r="16" spans="1:4" x14ac:dyDescent="0.3">
      <c r="A16">
        <v>82</v>
      </c>
      <c r="B16">
        <v>15</v>
      </c>
      <c r="C16" s="1">
        <v>46023</v>
      </c>
      <c r="D16">
        <v>3322877.46</v>
      </c>
    </row>
    <row r="17" spans="1:4" x14ac:dyDescent="0.3">
      <c r="A17">
        <v>83</v>
      </c>
      <c r="B17">
        <v>16</v>
      </c>
      <c r="C17" s="1">
        <v>46023</v>
      </c>
      <c r="D17">
        <v>4941305.97</v>
      </c>
    </row>
    <row r="18" spans="1:4" x14ac:dyDescent="0.3">
      <c r="A18">
        <v>84</v>
      </c>
      <c r="B18">
        <v>17</v>
      </c>
      <c r="C18" s="1">
        <v>46023</v>
      </c>
      <c r="D18">
        <v>4737897.55</v>
      </c>
    </row>
    <row r="19" spans="1:4" x14ac:dyDescent="0.3">
      <c r="A19">
        <v>85</v>
      </c>
      <c r="B19">
        <v>18</v>
      </c>
      <c r="C19" s="1">
        <v>46023</v>
      </c>
      <c r="D19">
        <v>3865569.92</v>
      </c>
    </row>
    <row r="20" spans="1:4" x14ac:dyDescent="0.3">
      <c r="A20">
        <v>86</v>
      </c>
      <c r="B20">
        <v>19</v>
      </c>
      <c r="C20" s="1">
        <v>46023</v>
      </c>
      <c r="D20">
        <v>2614157.0099999998</v>
      </c>
    </row>
    <row r="21" spans="1:4" x14ac:dyDescent="0.3">
      <c r="A21">
        <v>87</v>
      </c>
      <c r="B21">
        <v>20</v>
      </c>
      <c r="C21" s="1">
        <v>46023</v>
      </c>
      <c r="D21">
        <v>3974075.39</v>
      </c>
    </row>
    <row r="22" spans="1:4" x14ac:dyDescent="0.3">
      <c r="A22">
        <v>88</v>
      </c>
      <c r="B22">
        <v>21</v>
      </c>
      <c r="C22" s="1">
        <v>46023</v>
      </c>
      <c r="D22">
        <v>4527906</v>
      </c>
    </row>
    <row r="23" spans="1:4" x14ac:dyDescent="0.3">
      <c r="A23">
        <v>89</v>
      </c>
      <c r="B23">
        <v>22</v>
      </c>
      <c r="C23" s="1">
        <v>46023</v>
      </c>
      <c r="D23">
        <v>3217303.91</v>
      </c>
    </row>
    <row r="24" spans="1:4" x14ac:dyDescent="0.3">
      <c r="A24">
        <v>90</v>
      </c>
      <c r="B24">
        <v>23</v>
      </c>
      <c r="C24" s="1">
        <v>46023</v>
      </c>
      <c r="D24">
        <v>2502801.61</v>
      </c>
    </row>
    <row r="25" spans="1:4" x14ac:dyDescent="0.3">
      <c r="A25">
        <v>91</v>
      </c>
      <c r="B25">
        <v>24</v>
      </c>
      <c r="C25" s="1">
        <v>46023</v>
      </c>
      <c r="D25">
        <v>2862096.39</v>
      </c>
    </row>
    <row r="26" spans="1:4" x14ac:dyDescent="0.3">
      <c r="A26">
        <v>92</v>
      </c>
      <c r="B26">
        <v>25</v>
      </c>
      <c r="C26" s="1">
        <v>46023</v>
      </c>
      <c r="D26">
        <v>4302077.2</v>
      </c>
    </row>
    <row r="27" spans="1:4" x14ac:dyDescent="0.3">
      <c r="A27">
        <v>25</v>
      </c>
      <c r="B27">
        <v>25</v>
      </c>
      <c r="C27" s="1">
        <v>46023</v>
      </c>
      <c r="D27">
        <v>122145.21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A1F5-6F6A-4FEE-B4B3-52E60BDA00EE}">
  <sheetPr filterMode="1"/>
  <dimension ref="A1:S33"/>
  <sheetViews>
    <sheetView showGridLines="0" tabSelected="1" zoomScale="89" workbookViewId="0">
      <selection activeCell="Q3" sqref="Q3:S4"/>
    </sheetView>
  </sheetViews>
  <sheetFormatPr defaultRowHeight="14.4" x14ac:dyDescent="0.3"/>
  <cols>
    <col min="1" max="1" width="17.6640625" customWidth="1"/>
    <col min="2" max="2" width="13.44140625" customWidth="1"/>
    <col min="3" max="3" width="15.109375" bestFit="1" customWidth="1"/>
    <col min="4" max="4" width="9.21875" customWidth="1"/>
    <col min="11" max="11" width="10.77734375" customWidth="1"/>
    <col min="19" max="19" width="19.77734375" customWidth="1"/>
  </cols>
  <sheetData>
    <row r="1" spans="1:19" ht="14.4" customHeight="1" x14ac:dyDescent="0.3">
      <c r="A1" s="7" t="s">
        <v>96</v>
      </c>
      <c r="B1" s="7"/>
      <c r="C1" s="7"/>
      <c r="E1" s="7" t="s">
        <v>97</v>
      </c>
      <c r="F1" s="7"/>
      <c r="G1" s="7"/>
      <c r="I1" s="7" t="s">
        <v>95</v>
      </c>
      <c r="J1" s="7"/>
      <c r="K1" s="7"/>
      <c r="M1" s="7" t="s">
        <v>98</v>
      </c>
      <c r="N1" s="7"/>
      <c r="O1" s="7"/>
      <c r="Q1" s="7" t="s">
        <v>99</v>
      </c>
      <c r="R1" s="7"/>
      <c r="S1" s="7"/>
    </row>
    <row r="2" spans="1:19" ht="14.4" customHeight="1" x14ac:dyDescent="0.3">
      <c r="A2" s="7"/>
      <c r="B2" s="7"/>
      <c r="C2" s="7"/>
      <c r="E2" s="7"/>
      <c r="F2" s="7"/>
      <c r="G2" s="7"/>
      <c r="I2" s="7"/>
      <c r="J2" s="7"/>
      <c r="K2" s="7"/>
      <c r="M2" s="7"/>
      <c r="N2" s="7"/>
      <c r="O2" s="7"/>
      <c r="Q2" s="7"/>
      <c r="R2" s="7"/>
      <c r="S2" s="7"/>
    </row>
    <row r="3" spans="1:19" ht="14.4" customHeight="1" x14ac:dyDescent="0.3">
      <c r="A3" s="6">
        <f>SUM(tblinvoices[])</f>
        <v>110191391.21000014</v>
      </c>
      <c r="B3" s="6"/>
      <c r="C3" s="6"/>
      <c r="E3" s="6">
        <f>SUM(tbltargets[])</f>
        <v>95913427.290000007</v>
      </c>
      <c r="F3" s="6"/>
      <c r="G3" s="6"/>
      <c r="I3" s="9">
        <f>A3/E3</f>
        <v>1.1488630353790805</v>
      </c>
      <c r="J3" s="9"/>
      <c r="K3" s="9"/>
      <c r="M3" s="8">
        <f>COUNTA(tblinvoices[])</f>
        <v>4500</v>
      </c>
      <c r="N3" s="8"/>
      <c r="O3" s="8"/>
      <c r="Q3" s="9" cm="1">
        <f t="array" ref="Q3">SUMPRODUCT(--(tblinvoices[delivery_time] &lt;= tblinvoices[promised_time])) / ROWS(tblinvoices[invoice_id])</f>
        <v>0.754</v>
      </c>
      <c r="R3" s="9"/>
      <c r="S3" s="9"/>
    </row>
    <row r="4" spans="1:19" ht="14.4" customHeight="1" x14ac:dyDescent="0.3">
      <c r="A4" s="6"/>
      <c r="B4" s="6"/>
      <c r="C4" s="6"/>
      <c r="E4" s="6"/>
      <c r="F4" s="6"/>
      <c r="G4" s="6"/>
      <c r="I4" s="9"/>
      <c r="J4" s="9"/>
      <c r="K4" s="9"/>
      <c r="M4" s="8"/>
      <c r="N4" s="8"/>
      <c r="O4" s="8"/>
      <c r="Q4" s="9"/>
      <c r="R4" s="9"/>
      <c r="S4" s="9"/>
    </row>
    <row r="8" spans="1:19" ht="15.6" x14ac:dyDescent="0.3">
      <c r="A8" s="2" t="s">
        <v>92</v>
      </c>
      <c r="B8" s="2" t="s">
        <v>93</v>
      </c>
      <c r="C8" s="2" t="s">
        <v>94</v>
      </c>
      <c r="D8" s="2" t="s">
        <v>95</v>
      </c>
      <c r="P8" s="11"/>
    </row>
    <row r="9" spans="1:19" ht="15.6" x14ac:dyDescent="0.3">
      <c r="A9" s="3" t="s">
        <v>86</v>
      </c>
      <c r="B9" s="4">
        <v>2502801.61</v>
      </c>
      <c r="C9" s="4">
        <v>4556828.3600000003</v>
      </c>
      <c r="D9" s="12">
        <v>1.8206909975577332</v>
      </c>
    </row>
    <row r="10" spans="1:19" ht="15.6" x14ac:dyDescent="0.3">
      <c r="A10" s="3" t="s">
        <v>61</v>
      </c>
      <c r="B10" s="4">
        <v>2865837.42</v>
      </c>
      <c r="C10" s="4">
        <v>4288414.79</v>
      </c>
      <c r="D10" s="12">
        <v>1.4963915119790712</v>
      </c>
    </row>
    <row r="11" spans="1:19" ht="15.6" x14ac:dyDescent="0.3">
      <c r="A11" s="3" t="s">
        <v>48</v>
      </c>
      <c r="B11" s="4">
        <v>3024468.19</v>
      </c>
      <c r="C11" s="4">
        <v>3890029.03</v>
      </c>
      <c r="D11" s="12">
        <v>1.286186127816408</v>
      </c>
    </row>
    <row r="12" spans="1:19" ht="15.6" x14ac:dyDescent="0.3">
      <c r="A12" s="3" t="s">
        <v>81</v>
      </c>
      <c r="B12" s="4">
        <v>4527906</v>
      </c>
      <c r="C12" s="4">
        <v>5412017.25</v>
      </c>
      <c r="D12" s="12">
        <v>1.1952583048323</v>
      </c>
    </row>
    <row r="13" spans="1:19" ht="15.6" x14ac:dyDescent="0.3">
      <c r="A13" s="3" t="s">
        <v>83</v>
      </c>
      <c r="B13" s="4">
        <v>3217303.91</v>
      </c>
      <c r="C13" s="4">
        <v>3713282.38</v>
      </c>
      <c r="D13" s="12">
        <v>1.1541596578608577</v>
      </c>
    </row>
    <row r="14" spans="1:19" ht="15.6" x14ac:dyDescent="0.3">
      <c r="A14" s="3" t="s">
        <v>64</v>
      </c>
      <c r="B14" s="4">
        <v>3683875.21</v>
      </c>
      <c r="C14" s="4">
        <v>3936916.2399999998</v>
      </c>
      <c r="D14" s="12">
        <v>1.0686888169591391</v>
      </c>
      <c r="F14" s="10"/>
      <c r="G14" s="10"/>
    </row>
    <row r="15" spans="1:19" ht="15.6" x14ac:dyDescent="0.3">
      <c r="A15" s="3" t="s">
        <v>59</v>
      </c>
      <c r="B15" s="4">
        <v>4381770.66</v>
      </c>
      <c r="C15" s="4">
        <v>4126006.9600000004</v>
      </c>
      <c r="D15" s="12">
        <v>0.9416300578360256</v>
      </c>
    </row>
    <row r="16" spans="1:19" ht="15.6" x14ac:dyDescent="0.3">
      <c r="A16" s="3" t="s">
        <v>56</v>
      </c>
      <c r="B16" s="4">
        <v>4674418.67</v>
      </c>
      <c r="C16" s="4">
        <v>4399705.04</v>
      </c>
      <c r="D16" s="12">
        <v>0.94123041828429121</v>
      </c>
    </row>
    <row r="17" spans="1:4" ht="15.6" x14ac:dyDescent="0.3">
      <c r="A17" s="3" t="s">
        <v>66</v>
      </c>
      <c r="B17" s="4">
        <v>4821863.87</v>
      </c>
      <c r="C17" s="4">
        <v>4525194.21</v>
      </c>
      <c r="D17" s="12">
        <v>0.93847406977916192</v>
      </c>
    </row>
    <row r="18" spans="1:4" ht="15.6" x14ac:dyDescent="0.3">
      <c r="A18" s="3" t="s">
        <v>73</v>
      </c>
      <c r="B18" s="4">
        <v>4737897.55</v>
      </c>
      <c r="C18" s="4">
        <v>3933489.8400000008</v>
      </c>
      <c r="D18" s="12">
        <v>0.83021842462591888</v>
      </c>
    </row>
    <row r="19" spans="1:4" ht="15.6" hidden="1" x14ac:dyDescent="0.3">
      <c r="A19" s="3" t="s">
        <v>88</v>
      </c>
      <c r="B19" s="4">
        <v>2862096.39</v>
      </c>
      <c r="C19" s="4">
        <v>3657282.1700000004</v>
      </c>
      <c r="D19" s="5">
        <v>1.2778333332092984</v>
      </c>
    </row>
    <row r="20" spans="1:4" ht="15.6" hidden="1" x14ac:dyDescent="0.3">
      <c r="A20" s="3" t="s">
        <v>79</v>
      </c>
      <c r="B20" s="4">
        <v>3974075.39</v>
      </c>
      <c r="C20" s="4">
        <v>3647404.5399999996</v>
      </c>
      <c r="D20" s="5">
        <v>0.91779953374261469</v>
      </c>
    </row>
    <row r="21" spans="1:4" ht="15.6" hidden="1" x14ac:dyDescent="0.3">
      <c r="A21" s="3" t="s">
        <v>57</v>
      </c>
      <c r="B21" s="4">
        <v>4681005.32</v>
      </c>
      <c r="C21" s="4">
        <v>3519001.3099999996</v>
      </c>
      <c r="D21" s="5">
        <v>0.75176186939262002</v>
      </c>
    </row>
    <row r="22" spans="1:4" ht="15.6" hidden="1" x14ac:dyDescent="0.3">
      <c r="A22" s="3" t="s">
        <v>52</v>
      </c>
      <c r="B22" s="4">
        <v>2725468.9</v>
      </c>
      <c r="C22" s="4">
        <v>3181895.8700000006</v>
      </c>
      <c r="D22" s="5">
        <v>1.1674673191097504</v>
      </c>
    </row>
    <row r="23" spans="1:4" ht="15.6" hidden="1" x14ac:dyDescent="0.3">
      <c r="A23" s="3" t="s">
        <v>54</v>
      </c>
      <c r="B23" s="4">
        <v>3548020.53</v>
      </c>
      <c r="C23" s="4">
        <v>3165054.86</v>
      </c>
      <c r="D23" s="5">
        <v>0.89206216064369848</v>
      </c>
    </row>
    <row r="24" spans="1:4" ht="15.6" hidden="1" x14ac:dyDescent="0.3">
      <c r="A24" s="3" t="s">
        <v>69</v>
      </c>
      <c r="B24" s="4">
        <v>3322877.46</v>
      </c>
      <c r="C24" s="4">
        <v>3147108.45</v>
      </c>
      <c r="D24" s="5">
        <v>0.94710337287009083</v>
      </c>
    </row>
    <row r="25" spans="1:4" ht="15.6" hidden="1" x14ac:dyDescent="0.3">
      <c r="A25" s="3" t="s">
        <v>77</v>
      </c>
      <c r="B25" s="4">
        <v>2614157.0099999998</v>
      </c>
      <c r="C25" s="4">
        <v>3137715.4499999997</v>
      </c>
      <c r="D25" s="5">
        <v>1.2002781156591662</v>
      </c>
    </row>
    <row r="26" spans="1:4" ht="15.6" hidden="1" x14ac:dyDescent="0.3">
      <c r="A26" s="3" t="s">
        <v>46</v>
      </c>
      <c r="B26" s="4">
        <v>4754188.78</v>
      </c>
      <c r="C26" s="4">
        <v>3127805.28</v>
      </c>
      <c r="D26" s="5">
        <v>0.65790514948798473</v>
      </c>
    </row>
    <row r="27" spans="1:4" ht="15.6" hidden="1" x14ac:dyDescent="0.3">
      <c r="A27" s="3" t="s">
        <v>44</v>
      </c>
      <c r="B27" s="4">
        <v>3582158.6</v>
      </c>
      <c r="C27" s="4">
        <v>3019358.53</v>
      </c>
      <c r="D27" s="5">
        <v>0.84288800892288795</v>
      </c>
    </row>
    <row r="28" spans="1:4" ht="15.6" hidden="1" x14ac:dyDescent="0.3">
      <c r="A28" s="3" t="s">
        <v>50</v>
      </c>
      <c r="B28" s="4">
        <v>3359774.68</v>
      </c>
      <c r="C28" s="4">
        <v>2603690.9399999995</v>
      </c>
      <c r="D28" s="5">
        <v>0.77495998630479568</v>
      </c>
    </row>
    <row r="29" spans="1:4" ht="15.6" hidden="1" x14ac:dyDescent="0.3">
      <c r="A29" s="3" t="s">
        <v>71</v>
      </c>
      <c r="B29" s="4">
        <v>4941305.97</v>
      </c>
      <c r="C29" s="4">
        <v>2538223.3199999998</v>
      </c>
      <c r="D29" s="5">
        <v>0.51367459036340546</v>
      </c>
    </row>
    <row r="30" spans="1:4" ht="15.6" hidden="1" x14ac:dyDescent="0.3">
      <c r="A30" s="3" t="s">
        <v>68</v>
      </c>
      <c r="B30" s="4">
        <v>3057693.8</v>
      </c>
      <c r="C30" s="4">
        <v>2436512.9899999998</v>
      </c>
      <c r="D30" s="5">
        <v>0.79684662669623751</v>
      </c>
    </row>
    <row r="31" spans="1:4" ht="15.6" hidden="1" x14ac:dyDescent="0.3">
      <c r="A31" s="3" t="s">
        <v>55</v>
      </c>
      <c r="B31" s="4">
        <v>4563696.04</v>
      </c>
      <c r="C31" s="4">
        <v>2380254.9000000004</v>
      </c>
      <c r="D31" s="5">
        <v>0.52156297858960832</v>
      </c>
    </row>
    <row r="32" spans="1:4" ht="15.6" hidden="1" x14ac:dyDescent="0.3">
      <c r="A32" s="3" t="s">
        <v>90</v>
      </c>
      <c r="B32" s="4">
        <v>4302077.2</v>
      </c>
      <c r="C32" s="4">
        <v>1840424.4</v>
      </c>
      <c r="D32" s="5">
        <v>0.42779901764663819</v>
      </c>
    </row>
    <row r="33" spans="1:4" ht="15.6" hidden="1" x14ac:dyDescent="0.3">
      <c r="A33" s="3" t="s">
        <v>74</v>
      </c>
      <c r="B33" s="4">
        <v>3865569.92</v>
      </c>
      <c r="C33" s="4">
        <v>1519653.02</v>
      </c>
      <c r="D33" s="5">
        <v>0.39312521864822458</v>
      </c>
    </row>
  </sheetData>
  <autoFilter ref="A8:D33" xr:uid="{8530A1F5-6F6A-4FEE-B4B3-52E60BDA00EE}">
    <filterColumn colId="2">
      <top10 val="10" filterVal="3713282.38"/>
    </filterColumn>
    <sortState xmlns:xlrd2="http://schemas.microsoft.com/office/spreadsheetml/2017/richdata2" ref="A9:D18">
      <sortCondition descending="1" ref="D8:D33"/>
    </sortState>
  </autoFilter>
  <mergeCells count="11">
    <mergeCell ref="F14:G14"/>
    <mergeCell ref="A1:C2"/>
    <mergeCell ref="Q1:S2"/>
    <mergeCell ref="Q3:S4"/>
    <mergeCell ref="A3:C4"/>
    <mergeCell ref="E1:G2"/>
    <mergeCell ref="I1:K2"/>
    <mergeCell ref="M1:O2"/>
    <mergeCell ref="M3:O4"/>
    <mergeCell ref="I3:K4"/>
    <mergeCell ref="E3:G4"/>
  </mergeCells>
  <conditionalFormatting sqref="I3:K4">
    <cfRule type="cellIs" dxfId="8" priority="7" operator="lessThan">
      <formula>0.8</formula>
    </cfRule>
    <cfRule type="cellIs" dxfId="7" priority="8" operator="between">
      <formula>0.8</formula>
      <formula>1</formula>
    </cfRule>
    <cfRule type="cellIs" dxfId="6" priority="9" operator="greaterThan">
      <formula>1</formula>
    </cfRule>
  </conditionalFormatting>
  <conditionalFormatting sqref="Q3:S4">
    <cfRule type="cellIs" dxfId="5" priority="4" operator="lessThan">
      <formula>0.8</formula>
    </cfRule>
    <cfRule type="cellIs" dxfId="4" priority="5" operator="between">
      <formula>0.8</formula>
      <formula>0.89</formula>
    </cfRule>
    <cfRule type="cellIs" dxfId="3" priority="6" operator="greaterThan">
      <formula>0.9</formula>
    </cfRule>
  </conditionalFormatting>
  <conditionalFormatting sqref="D9:D18">
    <cfRule type="cellIs" dxfId="2" priority="1" operator="lessThan">
      <formula>0.8</formula>
    </cfRule>
    <cfRule type="cellIs" dxfId="1" priority="2" operator="between">
      <formula>0.8</formula>
      <formula>1</formula>
    </cfRule>
    <cfRule type="cellIs" dxfId="0" priority="3" operator="greaterThan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Dealers</vt:lpstr>
      <vt:lpstr>Invoices</vt:lpstr>
      <vt:lpstr>Products</vt:lpstr>
      <vt:lpstr>Routes</vt:lpstr>
      <vt:lpstr>Targets</vt:lpstr>
      <vt:lpstr>MIS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Ameet</dc:creator>
  <cp:lastModifiedBy>AmeEt _</cp:lastModifiedBy>
  <dcterms:created xsi:type="dcterms:W3CDTF">2015-06-05T18:17:20Z</dcterms:created>
  <dcterms:modified xsi:type="dcterms:W3CDTF">2026-05-01T15:47:44Z</dcterms:modified>
</cp:coreProperties>
</file>